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7"/>
  <workbookPr/>
  <mc:AlternateContent xmlns:mc="http://schemas.openxmlformats.org/markup-compatibility/2006">
    <mc:Choice Requires="x15">
      <x15ac:absPath xmlns:x15ac="http://schemas.microsoft.com/office/spreadsheetml/2010/11/ac" url="https://cgbengenharia-my.sharepoint.com/personal/italo_fontes_cgbengenharia_com_br/Documents/Área de Trabalho/"/>
    </mc:Choice>
  </mc:AlternateContent>
  <xr:revisionPtr revIDLastSave="0" documentId="8_{F900BC1F-B47F-4128-993D-F5FCBF223BD7}" xr6:coauthVersionLast="47" xr6:coauthVersionMax="47" xr10:uidLastSave="{00000000-0000-0000-0000-000000000000}"/>
  <bookViews>
    <workbookView xWindow="-108" yWindow="-108" windowWidth="23256" windowHeight="12456" xr2:uid="{9C76EEA1-9851-4131-9598-CEC4E49C5BA7}"/>
  </bookViews>
  <sheets>
    <sheet name="ESTRUTURA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ESTRUTURA!$B$2:$Q$416</definedName>
    <definedName name="COMBUSTIVEL">OFFSET(#REF!,1,0,COUNTA(#REF!)-1,1)</definedName>
    <definedName name="DEPRECIAÇÃO">OFFSET(#REF!,1,0,COUNTA(#REF!)-1,1)</definedName>
    <definedName name="MANUTENÇÃO">OFFSET(#REF!,1,0,COUNTA(#REF!)-1,1)</definedName>
    <definedName name="PROPRIEDADE">OFFSET(#REF!,1,0,COUNTA(#REF!)-1,1)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49" i="1" l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N307" i="1"/>
  <c r="I307" i="1"/>
  <c r="Q306" i="1"/>
  <c r="Q305" i="1"/>
  <c r="Q304" i="1"/>
  <c r="N304" i="1"/>
  <c r="I304" i="1"/>
  <c r="Q303" i="1"/>
  <c r="N303" i="1"/>
  <c r="I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N289" i="1"/>
  <c r="I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N277" i="1"/>
  <c r="I277" i="1"/>
  <c r="Q276" i="1"/>
  <c r="Q275" i="1"/>
  <c r="Q274" i="1"/>
  <c r="Q273" i="1"/>
  <c r="Q272" i="1"/>
  <c r="Q271" i="1"/>
  <c r="Q270" i="1"/>
  <c r="Q269" i="1"/>
  <c r="Q268" i="1"/>
  <c r="Q267" i="1"/>
  <c r="N267" i="1"/>
  <c r="I267" i="1"/>
  <c r="Q266" i="1"/>
  <c r="N266" i="1"/>
  <c r="I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tc={5E21CB9E-6F20-4D67-91FB-3A539A9277F4}</author>
    <author>tc={D9AA0CD5-0C34-404F-836F-BE1724916049}</author>
  </authors>
  <commentList>
    <comment ref="H27" authorId="0" shapeId="0" xr:uid="{5E21CB9E-6F20-4D67-91FB-3A539A9277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NOVA EQUIPE</t>
      </text>
    </comment>
    <comment ref="E250" authorId="1" shapeId="0" xr:uid="{D9AA0CD5-0C34-404F-836F-BE17249160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Veiculos que foi cobrado o licenciamento em agosto.</t>
      </text>
    </comment>
  </commentList>
</comments>
</file>

<file path=xl/sharedStrings.xml><?xml version="1.0" encoding="utf-8"?>
<sst xmlns="http://schemas.openxmlformats.org/spreadsheetml/2006/main" count="4865" uniqueCount="878">
  <si>
    <t>TOTAL DE ATIVO</t>
  </si>
  <si>
    <t xml:space="preserve">PLACA </t>
  </si>
  <si>
    <t>ANO</t>
  </si>
  <si>
    <t>MODELO</t>
  </si>
  <si>
    <t>TIPO</t>
  </si>
  <si>
    <t>PROPRIETÁRIO</t>
  </si>
  <si>
    <t>PREFIXO</t>
  </si>
  <si>
    <t>RESPONSÁVEL</t>
  </si>
  <si>
    <t>BASE</t>
  </si>
  <si>
    <t>SETOR</t>
  </si>
  <si>
    <t>PROCESSO</t>
  </si>
  <si>
    <t>GERÊNCIA</t>
  </si>
  <si>
    <t>SERVIÇO</t>
  </si>
  <si>
    <t>CONTRATO</t>
  </si>
  <si>
    <t>CC</t>
  </si>
  <si>
    <t>IMEI</t>
  </si>
  <si>
    <t>SNW5E33</t>
  </si>
  <si>
    <t>SAVEIRO</t>
  </si>
  <si>
    <t>PICAPE LEVE</t>
  </si>
  <si>
    <t>PRÓPRIO</t>
  </si>
  <si>
    <t>MA-STI-C001M</t>
  </si>
  <si>
    <t>MARCELO SOARES</t>
  </si>
  <si>
    <t>STI</t>
  </si>
  <si>
    <t>OPERACIONAL</t>
  </si>
  <si>
    <t>GSTC</t>
  </si>
  <si>
    <t>FROTA</t>
  </si>
  <si>
    <t>Corte e Religação Leve</t>
  </si>
  <si>
    <t>2.127.02</t>
  </si>
  <si>
    <t>SNW5D73</t>
  </si>
  <si>
    <t>MA-ZDC-C001M</t>
  </si>
  <si>
    <t xml:space="preserve">ARLISSON ROGERIO </t>
  </si>
  <si>
    <t>JAMERSON</t>
  </si>
  <si>
    <t>SNW5D03</t>
  </si>
  <si>
    <t>RESERVA</t>
  </si>
  <si>
    <t>BCB</t>
  </si>
  <si>
    <t>Reserva-Corte e Religação (Seed Money)</t>
  </si>
  <si>
    <t>2.127.08</t>
  </si>
  <si>
    <t>SNW5C43</t>
  </si>
  <si>
    <t>PEDREIRO</t>
  </si>
  <si>
    <t>LUIS FILIPE</t>
  </si>
  <si>
    <t>PDS</t>
  </si>
  <si>
    <t>GERE</t>
  </si>
  <si>
    <t>JÚLIO</t>
  </si>
  <si>
    <t>Pedreiro</t>
  </si>
  <si>
    <t>2.169.04</t>
  </si>
  <si>
    <t>SNW5B43</t>
  </si>
  <si>
    <t>MA-BCB-C001M</t>
  </si>
  <si>
    <t>DEILTON RIBEIRO</t>
  </si>
  <si>
    <t>SNU7G30</t>
  </si>
  <si>
    <t>FISCAL</t>
  </si>
  <si>
    <t xml:space="preserve">EDSON </t>
  </si>
  <si>
    <t>ADM</t>
  </si>
  <si>
    <t>Fiscal</t>
  </si>
  <si>
    <t>SNT3J70</t>
  </si>
  <si>
    <t>MA-BCB-F001M</t>
  </si>
  <si>
    <t>Equipe de Inspecao (Picape Leve)</t>
  </si>
  <si>
    <t>SNT3I80</t>
  </si>
  <si>
    <t>MA-STI-F001M</t>
  </si>
  <si>
    <t>SNT3G70</t>
  </si>
  <si>
    <t>TECNICO DE PLANEJAMENTO</t>
  </si>
  <si>
    <t>ACLESSIO</t>
  </si>
  <si>
    <t>GOMAN</t>
  </si>
  <si>
    <t>RAFAELA</t>
  </si>
  <si>
    <t>Apoio a obras</t>
  </si>
  <si>
    <t>2.169.05</t>
  </si>
  <si>
    <t>SNT3F70</t>
  </si>
  <si>
    <t>Reserva-Corte e Religação Leve</t>
  </si>
  <si>
    <t>RZY5D04</t>
  </si>
  <si>
    <t>Reserva-Ligação Nova Multi Leve</t>
  </si>
  <si>
    <t>2.127.03</t>
  </si>
  <si>
    <t>SNT1G67</t>
  </si>
  <si>
    <t>ARGO</t>
  </si>
  <si>
    <t>VEICULO LEVE</t>
  </si>
  <si>
    <t>LEONARDO MARTINS</t>
  </si>
  <si>
    <t>RICARDO</t>
  </si>
  <si>
    <t>2.127.05</t>
  </si>
  <si>
    <t>SNS7G59</t>
  </si>
  <si>
    <t>Reserva-Equipe de Inspecao (Picape Leve)</t>
  </si>
  <si>
    <t>SNS7G49</t>
  </si>
  <si>
    <t>MA-PDS-F006M</t>
  </si>
  <si>
    <t>PDT</t>
  </si>
  <si>
    <t>SNS7F89</t>
  </si>
  <si>
    <t>MA-BCB-F007M</t>
  </si>
  <si>
    <t>SNS7F49</t>
  </si>
  <si>
    <t>MA-PDT-F002M</t>
  </si>
  <si>
    <t>SNS7E49</t>
  </si>
  <si>
    <t>MA-PDT-F008M</t>
  </si>
  <si>
    <t>SNS7D69</t>
  </si>
  <si>
    <t>MA-STI-F002M</t>
  </si>
  <si>
    <t>SNS7C99</t>
  </si>
  <si>
    <t>MA-PDS-F001M</t>
  </si>
  <si>
    <t>SNS7C09</t>
  </si>
  <si>
    <t>Reserva</t>
  </si>
  <si>
    <t>SNS6E39</t>
  </si>
  <si>
    <t>SNS4C48</t>
  </si>
  <si>
    <t>PROSPECTOR</t>
  </si>
  <si>
    <t>Prospector (Leve)</t>
  </si>
  <si>
    <t>SNS4B18</t>
  </si>
  <si>
    <t>SNS4A88</t>
  </si>
  <si>
    <t>FRANCISCO WILLIAM</t>
  </si>
  <si>
    <t>SNS4A08</t>
  </si>
  <si>
    <t>EM MOBIZAÇÃO</t>
  </si>
  <si>
    <t>SNS1B59</t>
  </si>
  <si>
    <t>MA-BCB-F006M</t>
  </si>
  <si>
    <t>SNS1A79</t>
  </si>
  <si>
    <t>SANTANA DE LIMA</t>
  </si>
  <si>
    <t>PAULO</t>
  </si>
  <si>
    <t>Administrativo</t>
  </si>
  <si>
    <t>2.169.30</t>
  </si>
  <si>
    <t>SNR3C87</t>
  </si>
  <si>
    <t>MATEUS ANTÔNIO</t>
  </si>
  <si>
    <t>SNR2D87</t>
  </si>
  <si>
    <t>TECNICO DE SST</t>
  </si>
  <si>
    <t>NILO GONCALVES</t>
  </si>
  <si>
    <t>BDC</t>
  </si>
  <si>
    <t>SESMT</t>
  </si>
  <si>
    <t>LEANDRO</t>
  </si>
  <si>
    <t>2.170.33</t>
  </si>
  <si>
    <t>SNM6D11</t>
  </si>
  <si>
    <t>ACTROS 2548S</t>
  </si>
  <si>
    <t>CARRETA</t>
  </si>
  <si>
    <t>TRANSPORTE</t>
  </si>
  <si>
    <t>JACKSON SOUZA</t>
  </si>
  <si>
    <t>JACKSON</t>
  </si>
  <si>
    <t>Transporte de materiais para bases e obras</t>
  </si>
  <si>
    <t>2.127.12</t>
  </si>
  <si>
    <t>PCF7927</t>
  </si>
  <si>
    <t>ATEGO 1419</t>
  </si>
  <si>
    <t>MUNCK</t>
  </si>
  <si>
    <t>PDT306</t>
  </si>
  <si>
    <t>RAIMUNDO ALMEIDA</t>
  </si>
  <si>
    <t>Construção Linha Morta 6 Homens</t>
  </si>
  <si>
    <t>SNJ9F58</t>
  </si>
  <si>
    <t>VW/POLO TRACK MA</t>
  </si>
  <si>
    <t>SUPERVISOR OPERACIONAL</t>
  </si>
  <si>
    <t xml:space="preserve">DEILTON RIBEIRO </t>
  </si>
  <si>
    <t>2.127.30</t>
  </si>
  <si>
    <t>SNJ9F49</t>
  </si>
  <si>
    <t xml:space="preserve">WELRISSON OLIVEIRA </t>
  </si>
  <si>
    <t>ITM</t>
  </si>
  <si>
    <t>2.127.33</t>
  </si>
  <si>
    <t>SNJ9F39</t>
  </si>
  <si>
    <t>LEONARDO ESTRELA</t>
  </si>
  <si>
    <t>SNJ9F34</t>
  </si>
  <si>
    <t>SUPERVISOR DE SST</t>
  </si>
  <si>
    <t>ANTONIO SILVA DE ABREU</t>
  </si>
  <si>
    <t>PDY2953</t>
  </si>
  <si>
    <t>PDT305</t>
  </si>
  <si>
    <t>PDY2H93</t>
  </si>
  <si>
    <t>JOSIEL MENESES</t>
  </si>
  <si>
    <t>SPOT</t>
  </si>
  <si>
    <t>MARCOS</t>
  </si>
  <si>
    <t>Reserva-Construção/Manutenção 6 Homens</t>
  </si>
  <si>
    <t>2.170.05</t>
  </si>
  <si>
    <t>PEB5623</t>
  </si>
  <si>
    <t>BDC302</t>
  </si>
  <si>
    <t>Construção Linha Morta 6 Homens - SPOT</t>
  </si>
  <si>
    <t>SMP6C73</t>
  </si>
  <si>
    <t>I/TOYOTA HILUX CDLOWM4FD</t>
  </si>
  <si>
    <t>PICAPE 4X4</t>
  </si>
  <si>
    <t>MA-STI-E003M</t>
  </si>
  <si>
    <t>Plantão Leve 8 Horas Trio Carro 4X4</t>
  </si>
  <si>
    <t>2.127.01</t>
  </si>
  <si>
    <t>ROY8H86</t>
  </si>
  <si>
    <t>HILUX</t>
  </si>
  <si>
    <t>MA-PDT-M001M</t>
  </si>
  <si>
    <t>GUILHERME FONSECA</t>
  </si>
  <si>
    <t>2.169.01</t>
  </si>
  <si>
    <t>SMP6C70</t>
  </si>
  <si>
    <t>MA-LDP-E001M</t>
  </si>
  <si>
    <t>RAIMUNDO HERMERSON</t>
  </si>
  <si>
    <t>Plantão 16 Horas 4x4</t>
  </si>
  <si>
    <t>SMP6C66</t>
  </si>
  <si>
    <t>MA-ITM-E002M</t>
  </si>
  <si>
    <t>RZP0F04</t>
  </si>
  <si>
    <t>GOL</t>
  </si>
  <si>
    <t>MARCOS ALENCAR</t>
  </si>
  <si>
    <t>RZQ1B54</t>
  </si>
  <si>
    <t>FABIO LOPES</t>
  </si>
  <si>
    <t>SMP6C55</t>
  </si>
  <si>
    <t>MA-CTD-E001M</t>
  </si>
  <si>
    <t>SMP0E84</t>
  </si>
  <si>
    <t>SUPERVISAOR OPERACIONAL</t>
  </si>
  <si>
    <t>SMP0E83</t>
  </si>
  <si>
    <t>EVERTON SIQUEIRA</t>
  </si>
  <si>
    <t>SMP0E82</t>
  </si>
  <si>
    <t xml:space="preserve">CRISTOPHE DANIEL </t>
  </si>
  <si>
    <t>SMP0E81</t>
  </si>
  <si>
    <t>JOSIELINGTON PAZ DE OLIVEIRA</t>
  </si>
  <si>
    <t>2.169.33</t>
  </si>
  <si>
    <t>SOW9C97</t>
  </si>
  <si>
    <t>HILUX CD SR AT</t>
  </si>
  <si>
    <t>GERENTE DE CONTRATO</t>
  </si>
  <si>
    <t>VALVICK SALES</t>
  </si>
  <si>
    <t>VALVICK</t>
  </si>
  <si>
    <t>SMP0E78</t>
  </si>
  <si>
    <t>MESSIAS ABREU</t>
  </si>
  <si>
    <t>PCG7705</t>
  </si>
  <si>
    <t>17-230</t>
  </si>
  <si>
    <t>MIKEIAS VELOSO</t>
  </si>
  <si>
    <t>Construção/Manutenção 6 Homens</t>
  </si>
  <si>
    <t>PCH0215</t>
  </si>
  <si>
    <t>BCB307</t>
  </si>
  <si>
    <t>QYG9I76</t>
  </si>
  <si>
    <t>ITM304</t>
  </si>
  <si>
    <t>SMP0E74</t>
  </si>
  <si>
    <t>SUPERVISOR DE FROTA</t>
  </si>
  <si>
    <t>LUCAS SOUZA</t>
  </si>
  <si>
    <t>SMP0E73</t>
  </si>
  <si>
    <t>DARIO FRANÇA</t>
  </si>
  <si>
    <t>SMP0E72</t>
  </si>
  <si>
    <t>COORDEMADOR DE LOGISTICA</t>
  </si>
  <si>
    <t>POK8G72</t>
  </si>
  <si>
    <t>14-190</t>
  </si>
  <si>
    <t>ALUGADO</t>
  </si>
  <si>
    <t>BDC304</t>
  </si>
  <si>
    <t>SMP0E70</t>
  </si>
  <si>
    <t>COORDENADOR DE PLANEJAMENTO</t>
  </si>
  <si>
    <t>IGOR DIONÍSIO</t>
  </si>
  <si>
    <t>SMP0E69</t>
  </si>
  <si>
    <t>ANTONIO MARCOS SALAZAR DOS REIS</t>
  </si>
  <si>
    <t>SMP0E68</t>
  </si>
  <si>
    <t>COORDENADOR DE FROTA</t>
  </si>
  <si>
    <t>RUAN VALMIR</t>
  </si>
  <si>
    <t>SMP0E67</t>
  </si>
  <si>
    <t xml:space="preserve">ENCARREGADO DE MANUTENÇÃO </t>
  </si>
  <si>
    <t xml:space="preserve">FRANCISCO JOSE GUERREIRO </t>
  </si>
  <si>
    <t>2.127.31</t>
  </si>
  <si>
    <t>ROU6E53</t>
  </si>
  <si>
    <t>VW/DELIVERY 9.180</t>
  </si>
  <si>
    <t>SKY CS</t>
  </si>
  <si>
    <t>COMODATO</t>
  </si>
  <si>
    <t>BCB400</t>
  </si>
  <si>
    <t>Manutenção TAT sky 3h</t>
  </si>
  <si>
    <t>2.127.10</t>
  </si>
  <si>
    <t>ROU6E64</t>
  </si>
  <si>
    <t>VW/17.210 CRM 4X2</t>
  </si>
  <si>
    <t>BCB304</t>
  </si>
  <si>
    <t>SMP0E64</t>
  </si>
  <si>
    <t>COORDENADOR OPERACIONAL</t>
  </si>
  <si>
    <t>RAFAELA MELO</t>
  </si>
  <si>
    <t>SMP0E63</t>
  </si>
  <si>
    <t>SUPERVISORA ADMINISTRATIVO</t>
  </si>
  <si>
    <t>PRYSCILLA CRISTYANE</t>
  </si>
  <si>
    <t>SMP0E62</t>
  </si>
  <si>
    <t>AVARIADO</t>
  </si>
  <si>
    <t>SMP0E61</t>
  </si>
  <si>
    <t>JULIO CESAR</t>
  </si>
  <si>
    <t>SMP0E60</t>
  </si>
  <si>
    <t>ENGENHEIRA SST</t>
  </si>
  <si>
    <t>QYG6J04</t>
  </si>
  <si>
    <t>BDC305</t>
  </si>
  <si>
    <t>SMP0E58</t>
  </si>
  <si>
    <t>JAMERSON MIRANDA</t>
  </si>
  <si>
    <t>SMP0E57</t>
  </si>
  <si>
    <t>NORMAM MATHEUS</t>
  </si>
  <si>
    <t>SMP0E56</t>
  </si>
  <si>
    <t>ENGENHEIRO SST</t>
  </si>
  <si>
    <t>PDY9293</t>
  </si>
  <si>
    <t>Reserva-Construção Linha Morta 6 Homens</t>
  </si>
  <si>
    <t>SMP0E54</t>
  </si>
  <si>
    <t>RICARDO MALTA</t>
  </si>
  <si>
    <t>SMP0E53</t>
  </si>
  <si>
    <t>JOAO CLIMACO</t>
  </si>
  <si>
    <t>SMP0E52</t>
  </si>
  <si>
    <t>SMP0E51</t>
  </si>
  <si>
    <t>JOISE MARQUES</t>
  </si>
  <si>
    <t>SMM9F74</t>
  </si>
  <si>
    <t>MA-VTO-M001M</t>
  </si>
  <si>
    <t>Ligação Nova Multi 4x4</t>
  </si>
  <si>
    <t>SMM9F06</t>
  </si>
  <si>
    <t>MA-ZDC-M001M</t>
  </si>
  <si>
    <t>SMM9C87</t>
  </si>
  <si>
    <t>MA-BMJ-E001M</t>
  </si>
  <si>
    <t>SMM9C85</t>
  </si>
  <si>
    <t>MA-STI-E002M</t>
  </si>
  <si>
    <t>RZY0H65</t>
  </si>
  <si>
    <t>2.169.08</t>
  </si>
  <si>
    <t>SMM9C83</t>
  </si>
  <si>
    <t>MA-SMT-E001M</t>
  </si>
  <si>
    <t>SMM9C81</t>
  </si>
  <si>
    <t>MA-VGD-E002M</t>
  </si>
  <si>
    <t>RZY0J15</t>
  </si>
  <si>
    <t>SMM9C75</t>
  </si>
  <si>
    <t>MA-LGM-M001M</t>
  </si>
  <si>
    <t>2.169.03</t>
  </si>
  <si>
    <t>RZY1C85</t>
  </si>
  <si>
    <t xml:space="preserve">ANTONIO SAMUEL </t>
  </si>
  <si>
    <t>RZY2F16</t>
  </si>
  <si>
    <t>Reserva-Plantão Leve 8 Horas Trio Carro 4X4</t>
  </si>
  <si>
    <t>RZY2G26</t>
  </si>
  <si>
    <t>SMM7H39</t>
  </si>
  <si>
    <t>HONDA/NXR160 BROS ESDD</t>
  </si>
  <si>
    <t>MOTO</t>
  </si>
  <si>
    <t>ERBERTH PEREIRA</t>
  </si>
  <si>
    <t>SMM7F01</t>
  </si>
  <si>
    <t>LEVANTADOR</t>
  </si>
  <si>
    <t xml:space="preserve">EDNALDO ABREU MEIRELES </t>
  </si>
  <si>
    <t>Levantador</t>
  </si>
  <si>
    <t>ROU6H82</t>
  </si>
  <si>
    <t>VW/DELIVERY 11.180</t>
  </si>
  <si>
    <t>SKY CD</t>
  </si>
  <si>
    <t>EVERALDO NOGUEIRA</t>
  </si>
  <si>
    <t>Reserva-Manutenção Linha Viva 4 Homens</t>
  </si>
  <si>
    <t>2.127.07</t>
  </si>
  <si>
    <t>SMM7E85</t>
  </si>
  <si>
    <t>SMM7E81</t>
  </si>
  <si>
    <t>HONDA BROS</t>
  </si>
  <si>
    <t xml:space="preserve">GEOMARI </t>
  </si>
  <si>
    <t>SMM7E79</t>
  </si>
  <si>
    <t xml:space="preserve">JONAS ARAUJO SALES </t>
  </si>
  <si>
    <t>ROU7A90</t>
  </si>
  <si>
    <t>BCB551</t>
  </si>
  <si>
    <t>WERBETH RODRIGUES</t>
  </si>
  <si>
    <t>Poda mid sky</t>
  </si>
  <si>
    <t>2.127.09</t>
  </si>
  <si>
    <t>SMM7E76</t>
  </si>
  <si>
    <t>SMM7E74</t>
  </si>
  <si>
    <t xml:space="preserve">JULIO </t>
  </si>
  <si>
    <t>Inspeção</t>
  </si>
  <si>
    <t>SMM5B78</t>
  </si>
  <si>
    <t>2.169.31</t>
  </si>
  <si>
    <t>SMM5B77</t>
  </si>
  <si>
    <t>SMM5B76</t>
  </si>
  <si>
    <t>SMM5B75</t>
  </si>
  <si>
    <t xml:space="preserve">LEVANTADOR </t>
  </si>
  <si>
    <t>LEONARDO BRUNO</t>
  </si>
  <si>
    <t>SMM5B74</t>
  </si>
  <si>
    <t>SMM5B73</t>
  </si>
  <si>
    <t>ROU7A91</t>
  </si>
  <si>
    <t>BCB550</t>
  </si>
  <si>
    <t>RZY9J76</t>
  </si>
  <si>
    <t>Reserva-Plantão 16 Horas 4x4</t>
  </si>
  <si>
    <t>RZY7B75</t>
  </si>
  <si>
    <t>MA-PDS-E001M</t>
  </si>
  <si>
    <t>RZY7B05</t>
  </si>
  <si>
    <t>MA-ESP-E001M</t>
  </si>
  <si>
    <t>RZY2G76</t>
  </si>
  <si>
    <t>RZY6I95</t>
  </si>
  <si>
    <t>MA-ZDC-E001</t>
  </si>
  <si>
    <t>RZY6G55</t>
  </si>
  <si>
    <t>MA-ITM-E001M</t>
  </si>
  <si>
    <t>RZY6F95</t>
  </si>
  <si>
    <t>MA-VGD-E001M</t>
  </si>
  <si>
    <t>RZY6F55</t>
  </si>
  <si>
    <t>MA-STI-E001</t>
  </si>
  <si>
    <t>RZY6E65</t>
  </si>
  <si>
    <t>MA-MRA-E001M</t>
  </si>
  <si>
    <t>RZY6D45</t>
  </si>
  <si>
    <t>MA-ARI-E001M</t>
  </si>
  <si>
    <t>RZY6C85</t>
  </si>
  <si>
    <t>MA-IGG-E001M</t>
  </si>
  <si>
    <t>RZY6A34</t>
  </si>
  <si>
    <t>MA-STI-C002M</t>
  </si>
  <si>
    <t>RZY5G54</t>
  </si>
  <si>
    <t>ITALO</t>
  </si>
  <si>
    <t>Apoio a Obras</t>
  </si>
  <si>
    <t>RZY5F84</t>
  </si>
  <si>
    <t>2.169.02</t>
  </si>
  <si>
    <t>RZY5E64</t>
  </si>
  <si>
    <t>RZY5D74</t>
  </si>
  <si>
    <t>DIEGO ALENCAR</t>
  </si>
  <si>
    <t>RZY6J35</t>
  </si>
  <si>
    <t>MA-SDM-M001M</t>
  </si>
  <si>
    <t>SMM9C61</t>
  </si>
  <si>
    <t>MA-GEB-E001</t>
  </si>
  <si>
    <t>SMM9C64</t>
  </si>
  <si>
    <t>RZY2D36</t>
  </si>
  <si>
    <t>MA-STL-E001</t>
  </si>
  <si>
    <t>RZY2B66</t>
  </si>
  <si>
    <t>RZY2A86</t>
  </si>
  <si>
    <t>MA-VRF-E001M</t>
  </si>
  <si>
    <t>SMM9C69</t>
  </si>
  <si>
    <t>MA-BDC-E002</t>
  </si>
  <si>
    <t>RZY1C45</t>
  </si>
  <si>
    <t xml:space="preserve">LUIS AUGUSTO </t>
  </si>
  <si>
    <t>RZY1B65</t>
  </si>
  <si>
    <t>RZY1A05</t>
  </si>
  <si>
    <t>MA-BCB-C002M</t>
  </si>
  <si>
    <t>RZY0J55</t>
  </si>
  <si>
    <t>QYQ8C35</t>
  </si>
  <si>
    <t>PATRICK</t>
  </si>
  <si>
    <t>SMM9C78</t>
  </si>
  <si>
    <t>MA-TTM-E001</t>
  </si>
  <si>
    <t>RZY0G85</t>
  </si>
  <si>
    <t>EMANUEL</t>
  </si>
  <si>
    <t>RZU4I25</t>
  </si>
  <si>
    <t>PDS303</t>
  </si>
  <si>
    <t>RZT2A74</t>
  </si>
  <si>
    <t>RZT1A41</t>
  </si>
  <si>
    <t xml:space="preserve">BRUNO NUNES XAVIER </t>
  </si>
  <si>
    <t>RZT0J51</t>
  </si>
  <si>
    <t>WASHINGTON SOARES</t>
  </si>
  <si>
    <t>RZT0I21</t>
  </si>
  <si>
    <t>ADAILTON LIMA FERREIRA</t>
  </si>
  <si>
    <t>RZR7D91</t>
  </si>
  <si>
    <t>BDC350</t>
  </si>
  <si>
    <t>Manutenção Linha Viva 4 Homens - SPOT</t>
  </si>
  <si>
    <t>2.170.07</t>
  </si>
  <si>
    <t>RZO3I38</t>
  </si>
  <si>
    <t>9-170</t>
  </si>
  <si>
    <t>BCB553</t>
  </si>
  <si>
    <t>SAY9F26</t>
  </si>
  <si>
    <t>17-190</t>
  </si>
  <si>
    <t>BDC303</t>
  </si>
  <si>
    <t>RZR1F70</t>
  </si>
  <si>
    <t>Reserva-Poda mid sky</t>
  </si>
  <si>
    <t>RZR1G10</t>
  </si>
  <si>
    <t>PDS551</t>
  </si>
  <si>
    <t>2.169.09</t>
  </si>
  <si>
    <t>RZR5J07</t>
  </si>
  <si>
    <t>BCB305</t>
  </si>
  <si>
    <t>ROU7A86</t>
  </si>
  <si>
    <t>PDT550</t>
  </si>
  <si>
    <t>RZQ9I73</t>
  </si>
  <si>
    <t>PDS302</t>
  </si>
  <si>
    <t>RZQ9H90</t>
  </si>
  <si>
    <t>RZQ9H30</t>
  </si>
  <si>
    <t>CANDIDO GABRIEL</t>
  </si>
  <si>
    <t>RZQ9H10</t>
  </si>
  <si>
    <t>Reserva-Levantador</t>
  </si>
  <si>
    <t>RZQ1B74</t>
  </si>
  <si>
    <t>RENATO RAMOS CARVALHO</t>
  </si>
  <si>
    <t>SMM9C84</t>
  </si>
  <si>
    <t>MA-SJB-E001</t>
  </si>
  <si>
    <t>Plantão Leve 8 Horas Trio Carro 4x4</t>
  </si>
  <si>
    <t>RZQ0A61</t>
  </si>
  <si>
    <t>RZP0G64</t>
  </si>
  <si>
    <t>JORDEN CLEYSON</t>
  </si>
  <si>
    <t>RZP0G44</t>
  </si>
  <si>
    <t>SMP0E79</t>
  </si>
  <si>
    <t>ROU7A88</t>
  </si>
  <si>
    <t>STI550</t>
  </si>
  <si>
    <t>RZO1I53</t>
  </si>
  <si>
    <t>PDS400</t>
  </si>
  <si>
    <t>2.169.10</t>
  </si>
  <si>
    <t>RZY5C44</t>
  </si>
  <si>
    <t>ANDERSON</t>
  </si>
  <si>
    <t>RZR6B37</t>
  </si>
  <si>
    <t>BCB303</t>
  </si>
  <si>
    <t>RZL5E08</t>
  </si>
  <si>
    <t>STRADA</t>
  </si>
  <si>
    <t xml:space="preserve">ADMINISTRATIVO </t>
  </si>
  <si>
    <t>PRYSCILLA</t>
  </si>
  <si>
    <t>QYP1C59</t>
  </si>
  <si>
    <t>SMP0E59</t>
  </si>
  <si>
    <t>MARCOS ANDRADE</t>
  </si>
  <si>
    <t>2.170.30</t>
  </si>
  <si>
    <t>RZK4I18</t>
  </si>
  <si>
    <t>Levantador (Moto)</t>
  </si>
  <si>
    <t>ROT6C63</t>
  </si>
  <si>
    <t>SNT3D60</t>
  </si>
  <si>
    <t>SMP6C58</t>
  </si>
  <si>
    <t>MA-DPO-E001</t>
  </si>
  <si>
    <t>ROY8G54</t>
  </si>
  <si>
    <t>MA-PLR-E001M</t>
  </si>
  <si>
    <t>PEB5673</t>
  </si>
  <si>
    <t>PDT304</t>
  </si>
  <si>
    <t>ROV1J63</t>
  </si>
  <si>
    <t>PDT302</t>
  </si>
  <si>
    <t>ROU7A92</t>
  </si>
  <si>
    <t>STI551</t>
  </si>
  <si>
    <t>SMM5B72</t>
  </si>
  <si>
    <t xml:space="preserve">LAERCIO CORTA LIMA </t>
  </si>
  <si>
    <t>ROU7A80</t>
  </si>
  <si>
    <t>PDT400</t>
  </si>
  <si>
    <t>ROU7A79</t>
  </si>
  <si>
    <t>ITM350</t>
  </si>
  <si>
    <t>Manutenção Linha Viva 4 Homens</t>
  </si>
  <si>
    <t>ROU6E55</t>
  </si>
  <si>
    <t>PDS350</t>
  </si>
  <si>
    <t>2.169.07</t>
  </si>
  <si>
    <t>ROU7A77</t>
  </si>
  <si>
    <t>ITM551</t>
  </si>
  <si>
    <t>ROU7A73</t>
  </si>
  <si>
    <t>PDT551</t>
  </si>
  <si>
    <t>SMM7E78</t>
  </si>
  <si>
    <t>FAGNER ALMEIDA</t>
  </si>
  <si>
    <t>ROU6H74</t>
  </si>
  <si>
    <t>PDT351</t>
  </si>
  <si>
    <t>ROU6H57</t>
  </si>
  <si>
    <t>PDT350</t>
  </si>
  <si>
    <t>ROU6H44</t>
  </si>
  <si>
    <t>ITM550</t>
  </si>
  <si>
    <t>SMM7E97</t>
  </si>
  <si>
    <t xml:space="preserve">JAMES </t>
  </si>
  <si>
    <t>ROU6H98</t>
  </si>
  <si>
    <t>STI350</t>
  </si>
  <si>
    <t>QYZ4D44</t>
  </si>
  <si>
    <t>SUPERVISOR DE MEDIÇÃO</t>
  </si>
  <si>
    <t>MATEUS</t>
  </si>
  <si>
    <t>SMP6C60</t>
  </si>
  <si>
    <t>MA-BDC-E001</t>
  </si>
  <si>
    <t>QYP1B79</t>
  </si>
  <si>
    <t>SMP0E65</t>
  </si>
  <si>
    <t>SMP0E66</t>
  </si>
  <si>
    <t>QYG7A14</t>
  </si>
  <si>
    <t>PDS304</t>
  </si>
  <si>
    <t>ROU6D57</t>
  </si>
  <si>
    <t>STI400</t>
  </si>
  <si>
    <t>EDIVAN LIMA</t>
  </si>
  <si>
    <t>ROV1J74</t>
  </si>
  <si>
    <t>PDT300</t>
  </si>
  <si>
    <t>PGW2G43</t>
  </si>
  <si>
    <t>SEMI REBOQUE</t>
  </si>
  <si>
    <t>PGW2593</t>
  </si>
  <si>
    <t>2.169.12</t>
  </si>
  <si>
    <t>PEC0C23</t>
  </si>
  <si>
    <t>STI301</t>
  </si>
  <si>
    <t>ROU6H94</t>
  </si>
  <si>
    <t>PDS550</t>
  </si>
  <si>
    <t>PEB5663</t>
  </si>
  <si>
    <t>SMP0E71</t>
  </si>
  <si>
    <t>RZT9H80</t>
  </si>
  <si>
    <t>GABRIEL DO CARMO</t>
  </si>
  <si>
    <t>PCG7765</t>
  </si>
  <si>
    <t>SNJ0D78</t>
  </si>
  <si>
    <t>SNO4F70</t>
  </si>
  <si>
    <t>IDIALDO COIMBRA</t>
  </si>
  <si>
    <t>PEB5573</t>
  </si>
  <si>
    <t>ITM301</t>
  </si>
  <si>
    <t>PEA5933</t>
  </si>
  <si>
    <t>ATRON 1635 S</t>
  </si>
  <si>
    <t>PDZ2233</t>
  </si>
  <si>
    <t>STI303</t>
  </si>
  <si>
    <t>SMP0E55</t>
  </si>
  <si>
    <t>PDY9283</t>
  </si>
  <si>
    <t>ITM302</t>
  </si>
  <si>
    <t>SNJ0G01</t>
  </si>
  <si>
    <t xml:space="preserve">JOADSON CARLOS DA SILVA FERREIRA </t>
  </si>
  <si>
    <t>SNJ4E15</t>
  </si>
  <si>
    <t xml:space="preserve">WALLYSON DA SILVA ALMEIDA </t>
  </si>
  <si>
    <t>PDY2583</t>
  </si>
  <si>
    <t>ITM303</t>
  </si>
  <si>
    <t>SOW9C37</t>
  </si>
  <si>
    <t>GERENTE OPERACIONAL</t>
  </si>
  <si>
    <t xml:space="preserve">WALDIR </t>
  </si>
  <si>
    <t>WALDIR</t>
  </si>
  <si>
    <t>SMP0E75</t>
  </si>
  <si>
    <t>PCA4297</t>
  </si>
  <si>
    <t>STI302</t>
  </si>
  <si>
    <t>SNQ1J42</t>
  </si>
  <si>
    <t>17-210</t>
  </si>
  <si>
    <t>BDC301</t>
  </si>
  <si>
    <t>SNJ9F60</t>
  </si>
  <si>
    <t>SNS7H19</t>
  </si>
  <si>
    <t xml:space="preserve">ROGÉRIO  PEIXOTO </t>
  </si>
  <si>
    <t>SMP6C64</t>
  </si>
  <si>
    <t>MA-SDM-E001</t>
  </si>
  <si>
    <t>SOD4F36</t>
  </si>
  <si>
    <t>VW/26 260</t>
  </si>
  <si>
    <t>RZO6A28</t>
  </si>
  <si>
    <t>SMP0E76</t>
  </si>
  <si>
    <t>EDIVAN DE LIMA</t>
  </si>
  <si>
    <t>SMP0E77</t>
  </si>
  <si>
    <t>SUPERVISOR DE QUALIDADE</t>
  </si>
  <si>
    <t>PABLO LOURA</t>
  </si>
  <si>
    <t>TGO6A31</t>
  </si>
  <si>
    <t>MA-PIO-E001</t>
  </si>
  <si>
    <t>SNS1F66</t>
  </si>
  <si>
    <t>MA-MRA-M001M</t>
  </si>
  <si>
    <t>SNS9J95</t>
  </si>
  <si>
    <t>MA-GCD-M001</t>
  </si>
  <si>
    <t>SNS9J75</t>
  </si>
  <si>
    <t>MA-BCB-E001M</t>
  </si>
  <si>
    <t>SNQ1J22</t>
  </si>
  <si>
    <t>VW/14.210</t>
  </si>
  <si>
    <t>BCB350</t>
  </si>
  <si>
    <t>JCX0F54</t>
  </si>
  <si>
    <t>MA-PDS-M001M</t>
  </si>
  <si>
    <t>SNQ1J62</t>
  </si>
  <si>
    <t>BCB301</t>
  </si>
  <si>
    <t>PEC0343</t>
  </si>
  <si>
    <t>STI304</t>
  </si>
  <si>
    <t>SOQ2I63</t>
  </si>
  <si>
    <t>SAVEIRO CS</t>
  </si>
  <si>
    <t>DEFEITO</t>
  </si>
  <si>
    <t>SNA7I34</t>
  </si>
  <si>
    <t>STRADA ENDURANCE CS</t>
  </si>
  <si>
    <t>MA-PDT-F006M</t>
  </si>
  <si>
    <t>SNA7I66</t>
  </si>
  <si>
    <t>MA-STI-F005M</t>
  </si>
  <si>
    <t>SNA7I55</t>
  </si>
  <si>
    <t>MA-STI-F003M</t>
  </si>
  <si>
    <t>SNA7I51</t>
  </si>
  <si>
    <t>MA-BDC-F002M</t>
  </si>
  <si>
    <t>SNA7I69</t>
  </si>
  <si>
    <t>MA-STI-F006M</t>
  </si>
  <si>
    <t>SNA7I61</t>
  </si>
  <si>
    <t>MA-BDC-F001M</t>
  </si>
  <si>
    <t>SNA7I44</t>
  </si>
  <si>
    <t>MA-BCB-F011M</t>
  </si>
  <si>
    <t>SNA7I31</t>
  </si>
  <si>
    <t>MA-ITM-F001M</t>
  </si>
  <si>
    <t>SNA7I39</t>
  </si>
  <si>
    <t>MA-ITM-F002M</t>
  </si>
  <si>
    <t>SNA7I86</t>
  </si>
  <si>
    <t>MA-PDT-F001M</t>
  </si>
  <si>
    <t>PED0343</t>
  </si>
  <si>
    <t>PDT553</t>
  </si>
  <si>
    <t>SOW9A57</t>
  </si>
  <si>
    <t>MA-ODC-M001M</t>
  </si>
  <si>
    <t>SOW8I17</t>
  </si>
  <si>
    <t>MA-PDT-E001</t>
  </si>
  <si>
    <t>SMP6C71</t>
  </si>
  <si>
    <t>MA-STI-F010M</t>
  </si>
  <si>
    <t>Equipe de Inspecao 4x4</t>
  </si>
  <si>
    <t>SOW9B27</t>
  </si>
  <si>
    <t>MA-PDT-E002</t>
  </si>
  <si>
    <t>SOY0D90</t>
  </si>
  <si>
    <t>STRADA ENDURAN CS13</t>
  </si>
  <si>
    <t>MA-PDS-F005M</t>
  </si>
  <si>
    <t>SOX6G76</t>
  </si>
  <si>
    <t>MA-BCB-C003M</t>
  </si>
  <si>
    <t>Corte e Religação (Seed Money)</t>
  </si>
  <si>
    <t>SOY0A70</t>
  </si>
  <si>
    <t>MA-MRA-C001M</t>
  </si>
  <si>
    <t>SOX8C96</t>
  </si>
  <si>
    <t>MA-STI-D003M</t>
  </si>
  <si>
    <t>SOY0B40</t>
  </si>
  <si>
    <t>MA-PDT-F005M</t>
  </si>
  <si>
    <t>SOX0G97</t>
  </si>
  <si>
    <t>MA-PDT-C001</t>
  </si>
  <si>
    <t>SOX6F76</t>
  </si>
  <si>
    <t>MA-BDC-C001</t>
  </si>
  <si>
    <t>SOX9I46</t>
  </si>
  <si>
    <t>MA-PDS-C001M</t>
  </si>
  <si>
    <t>SOX8A85</t>
  </si>
  <si>
    <t>MA-PDS-F008M</t>
  </si>
  <si>
    <t>SOX8C56</t>
  </si>
  <si>
    <t>MA-ITM-C002M</t>
  </si>
  <si>
    <t>SOX2G59</t>
  </si>
  <si>
    <t>MA-PDS-F003M</t>
  </si>
  <si>
    <t>SOX2C89</t>
  </si>
  <si>
    <t>MA-LDP-C001M</t>
  </si>
  <si>
    <t>SOX2E59</t>
  </si>
  <si>
    <t>MA-BCB-F012M</t>
  </si>
  <si>
    <t>SOX0I57</t>
  </si>
  <si>
    <t>MA-PDT-F007M</t>
  </si>
  <si>
    <t>SOY0D20</t>
  </si>
  <si>
    <t>MA-BCB-F005M</t>
  </si>
  <si>
    <t>SOD4F46</t>
  </si>
  <si>
    <t>BCB302</t>
  </si>
  <si>
    <t>SOX8G96</t>
  </si>
  <si>
    <t>MA-SJC-E001M</t>
  </si>
  <si>
    <t>Ligação Nova Multi Leve</t>
  </si>
  <si>
    <t>SOX2G09</t>
  </si>
  <si>
    <t>BCB 354</t>
  </si>
  <si>
    <t>2.127.11</t>
  </si>
  <si>
    <t>SOX6G06</t>
  </si>
  <si>
    <t>BCB 353</t>
  </si>
  <si>
    <t>SOY0E70</t>
  </si>
  <si>
    <t>MA-ITM-C001M</t>
  </si>
  <si>
    <t>SOX8D75</t>
  </si>
  <si>
    <t>MA-BCB-F004M</t>
  </si>
  <si>
    <t>SOX9A06</t>
  </si>
  <si>
    <t>MA-STI-D001M</t>
  </si>
  <si>
    <t>SOY0E10</t>
  </si>
  <si>
    <t>MA-STI-F004M</t>
  </si>
  <si>
    <t>SOX8B35</t>
  </si>
  <si>
    <t>MA-PDT-C002</t>
  </si>
  <si>
    <t>SOX8C65</t>
  </si>
  <si>
    <t>MA-PDT-D001</t>
  </si>
  <si>
    <t>SOX8C85</t>
  </si>
  <si>
    <t>MA-PDS-F004M</t>
  </si>
  <si>
    <t>SOX6G56</t>
  </si>
  <si>
    <t>MA-BCB-D002M</t>
  </si>
  <si>
    <t>SOX8C26</t>
  </si>
  <si>
    <t>MA-BCB-F003M</t>
  </si>
  <si>
    <t>SOX7A75</t>
  </si>
  <si>
    <t>BCB 352</t>
  </si>
  <si>
    <t>SOX8E76</t>
  </si>
  <si>
    <t>MA-STI-F008M</t>
  </si>
  <si>
    <t>SOX7D45</t>
  </si>
  <si>
    <t>MA-COR-C001M</t>
  </si>
  <si>
    <t>SOX2D89</t>
  </si>
  <si>
    <t>MA-BCB-F009M</t>
  </si>
  <si>
    <t>SOX2B59</t>
  </si>
  <si>
    <t>MA-BCB-D001M</t>
  </si>
  <si>
    <t>SOX8F96</t>
  </si>
  <si>
    <t>MA-MON-E001M</t>
  </si>
  <si>
    <t>SOY0C50</t>
  </si>
  <si>
    <t>MA-PDT-F004M</t>
  </si>
  <si>
    <t>SOX6G46</t>
  </si>
  <si>
    <t>MA-STI-D002M</t>
  </si>
  <si>
    <t>SOX2D99</t>
  </si>
  <si>
    <t>MA-STI-F007M</t>
  </si>
  <si>
    <t>SOX2F19</t>
  </si>
  <si>
    <t>MA-PDS-F002M</t>
  </si>
  <si>
    <t>SOX8D05</t>
  </si>
  <si>
    <t>MA-MRA-D001M</t>
  </si>
  <si>
    <t>SOX8C05</t>
  </si>
  <si>
    <t>MA-BCB-F008M</t>
  </si>
  <si>
    <t>SOX8E25</t>
  </si>
  <si>
    <t>BCB 351</t>
  </si>
  <si>
    <t>ROU6E58</t>
  </si>
  <si>
    <t>TEY6A98</t>
  </si>
  <si>
    <t>I/TOYOTA HILUX CDLOWA4SD</t>
  </si>
  <si>
    <t>MA-STI-E004M</t>
  </si>
  <si>
    <t>TEY6A99</t>
  </si>
  <si>
    <t>MA-LGV-E001M</t>
  </si>
  <si>
    <t>TEY6B00</t>
  </si>
  <si>
    <t>TEY6B01</t>
  </si>
  <si>
    <t>MA-STL-M001M</t>
  </si>
  <si>
    <t>TEY6B02</t>
  </si>
  <si>
    <t>MA-BDC-M001</t>
  </si>
  <si>
    <t>TEY6B04</t>
  </si>
  <si>
    <t>MA-PDT-F003M</t>
  </si>
  <si>
    <t>TEY6B05</t>
  </si>
  <si>
    <t>SPB8F97</t>
  </si>
  <si>
    <t>BCB306</t>
  </si>
  <si>
    <t>TEY6B09</t>
  </si>
  <si>
    <t>MA-SLG-M001M</t>
  </si>
  <si>
    <t>TEY6B11</t>
  </si>
  <si>
    <t>MA-DPO-M001</t>
  </si>
  <si>
    <t>TEY6B12</t>
  </si>
  <si>
    <t>MA-ANJ-E001M</t>
  </si>
  <si>
    <t>TEY6B13</t>
  </si>
  <si>
    <t>MA-PDS-E002M</t>
  </si>
  <si>
    <t>TEY6B15</t>
  </si>
  <si>
    <t>MA-SMT-M001M</t>
  </si>
  <si>
    <t>TEY6B16</t>
  </si>
  <si>
    <t>MA-COR-M001M</t>
  </si>
  <si>
    <t>TEY6B17</t>
  </si>
  <si>
    <t>MA-BCB-F002M</t>
  </si>
  <si>
    <t>TEY6B19</t>
  </si>
  <si>
    <t>MA-ALP-E001M</t>
  </si>
  <si>
    <t>TEY6B20</t>
  </si>
  <si>
    <t>MA-PRO-E001M</t>
  </si>
  <si>
    <t>TEY6B22</t>
  </si>
  <si>
    <t>TEY6B23</t>
  </si>
  <si>
    <t>MA-BCB-E002M</t>
  </si>
  <si>
    <t>TEY6B25</t>
  </si>
  <si>
    <t>TEY6B27</t>
  </si>
  <si>
    <t>MA-BDC-M002</t>
  </si>
  <si>
    <t>TEY6B28</t>
  </si>
  <si>
    <t>MA-LDP-M001M</t>
  </si>
  <si>
    <t>TEY6B30</t>
  </si>
  <si>
    <t>TEY6B34</t>
  </si>
  <si>
    <t>MA-ATM-E001M</t>
  </si>
  <si>
    <t>TEY6B35</t>
  </si>
  <si>
    <t>MA-ITM-M001M</t>
  </si>
  <si>
    <t>TEY6B06</t>
  </si>
  <si>
    <t>SPB8E27</t>
  </si>
  <si>
    <t>PDT301</t>
  </si>
  <si>
    <t>QYP9D17</t>
  </si>
  <si>
    <t>ABRAÃO</t>
  </si>
  <si>
    <t>UHN6D95</t>
  </si>
  <si>
    <t>PDS301</t>
  </si>
  <si>
    <t>UHN6E15</t>
  </si>
  <si>
    <t>EM MOBILIZAÇÃO</t>
  </si>
  <si>
    <t>UHN6E25</t>
  </si>
  <si>
    <t>UHN6E45</t>
  </si>
  <si>
    <t>UHN6E75</t>
  </si>
  <si>
    <t>UHN6F15</t>
  </si>
  <si>
    <t>PDT308</t>
  </si>
  <si>
    <t>UHN6F25</t>
  </si>
  <si>
    <t>UHN6F85</t>
  </si>
  <si>
    <t>UHN6F95</t>
  </si>
  <si>
    <t>THK4I40</t>
  </si>
  <si>
    <t>MA-FFC-E001</t>
  </si>
  <si>
    <t>Plantão Leve 8 Horas Trio Carro Leve</t>
  </si>
  <si>
    <t>THM0A57</t>
  </si>
  <si>
    <t>MA-BCB-E003M</t>
  </si>
  <si>
    <t>QTF3E63</t>
  </si>
  <si>
    <t>MA-COR-E001M</t>
  </si>
  <si>
    <t>UJO6G89</t>
  </si>
  <si>
    <t>HONDA/NXR</t>
  </si>
  <si>
    <t>UJO6G98</t>
  </si>
  <si>
    <t>UJO6H06</t>
  </si>
  <si>
    <t>UJO6G84</t>
  </si>
  <si>
    <t>AGUARDANDO</t>
  </si>
  <si>
    <t>UJO6G93</t>
  </si>
  <si>
    <t>UJO6G96</t>
  </si>
  <si>
    <t>UJO6G99</t>
  </si>
  <si>
    <t>UJO6H02</t>
  </si>
  <si>
    <t>SAM8E08</t>
  </si>
  <si>
    <t>IVECO 9.190 TECTOR</t>
  </si>
  <si>
    <t>CAMINHÃO</t>
  </si>
  <si>
    <t>SNX2B54</t>
  </si>
  <si>
    <t>SNX2B84</t>
  </si>
  <si>
    <t>SNX2B14</t>
  </si>
  <si>
    <t>PEB5613</t>
  </si>
  <si>
    <t>DESMOBILIZADO</t>
  </si>
  <si>
    <t>PDY2893</t>
  </si>
  <si>
    <t>PEC0243</t>
  </si>
  <si>
    <t>PEB5643</t>
  </si>
  <si>
    <t>OZIEL BRAGA</t>
  </si>
  <si>
    <t>OFC0001</t>
  </si>
  <si>
    <t>INTERNO</t>
  </si>
  <si>
    <t>OFICINA</t>
  </si>
  <si>
    <t>OFICINA INTERNA</t>
  </si>
  <si>
    <t>TODAS</t>
  </si>
  <si>
    <t>RUAN</t>
  </si>
  <si>
    <t>Insumoa</t>
  </si>
  <si>
    <t>OFC0003</t>
  </si>
  <si>
    <t>RUA0G85</t>
  </si>
  <si>
    <t>RUA0G83</t>
  </si>
  <si>
    <t>RTZ8D09</t>
  </si>
  <si>
    <t>SYJ8C52</t>
  </si>
  <si>
    <t>SYJ8C31</t>
  </si>
  <si>
    <t>RUA0G96</t>
  </si>
  <si>
    <t>ROT6C71</t>
  </si>
  <si>
    <t>LUIZ FELIPE</t>
  </si>
  <si>
    <t>RZL4E18</t>
  </si>
  <si>
    <t>DESMOBILIZADA</t>
  </si>
  <si>
    <t>JOÃO FELIPE</t>
  </si>
  <si>
    <t>RZM1B32</t>
  </si>
  <si>
    <t>EMANUEL COSTA PINTO</t>
  </si>
  <si>
    <t>RZM1B82</t>
  </si>
  <si>
    <t>PEC0353</t>
  </si>
  <si>
    <t>THIAGO CORDEIRO</t>
  </si>
  <si>
    <t>RZM9F31</t>
  </si>
  <si>
    <t>RZM9D01</t>
  </si>
  <si>
    <t>BRUNO OLIVEIRA</t>
  </si>
  <si>
    <t>RZM1C32</t>
  </si>
  <si>
    <t>RZM7A41</t>
  </si>
  <si>
    <t>Manutenção de Equipamentos</t>
  </si>
  <si>
    <t>RZM1C62</t>
  </si>
  <si>
    <t>RZL4F88</t>
  </si>
  <si>
    <t>RZM1B02</t>
  </si>
  <si>
    <t>RZM1A82</t>
  </si>
  <si>
    <t>RZM1A12</t>
  </si>
  <si>
    <t>FRANCISCO ASSIS</t>
  </si>
  <si>
    <t>QYP1C99</t>
  </si>
  <si>
    <t>RZL5F08</t>
  </si>
  <si>
    <t>RZL5E48</t>
  </si>
  <si>
    <t>RZL5D18</t>
  </si>
  <si>
    <t>RZL4J88</t>
  </si>
  <si>
    <t>RZL4I68</t>
  </si>
  <si>
    <t>RZL4H98</t>
  </si>
  <si>
    <t>RZL4G98</t>
  </si>
  <si>
    <t>QYP1A99</t>
  </si>
  <si>
    <t>RZL3C39</t>
  </si>
  <si>
    <t>RZL3B89</t>
  </si>
  <si>
    <t>RZK4I58</t>
  </si>
  <si>
    <t>RVW7J37</t>
  </si>
  <si>
    <t>RUZ9B85</t>
  </si>
  <si>
    <t>PAULO FERREIRA</t>
  </si>
  <si>
    <t>RUF0E16</t>
  </si>
  <si>
    <t>RUB7D51</t>
  </si>
  <si>
    <t>RUB7D49</t>
  </si>
  <si>
    <t>RUA0H05</t>
  </si>
  <si>
    <t>ROT6C65</t>
  </si>
  <si>
    <t>RUA0G98</t>
  </si>
  <si>
    <t>RUA0G84</t>
  </si>
  <si>
    <t>RTZ8D16</t>
  </si>
  <si>
    <t>RTE8A38</t>
  </si>
  <si>
    <t>RTE4D09</t>
  </si>
  <si>
    <t>ROT6C67</t>
  </si>
  <si>
    <t>RUA0H01</t>
  </si>
  <si>
    <t>RNP8E84</t>
  </si>
  <si>
    <t>QYP9F77</t>
  </si>
  <si>
    <t>THIAGO</t>
  </si>
  <si>
    <t>RZM7H81</t>
  </si>
  <si>
    <t>RZM0J92</t>
  </si>
  <si>
    <t>QYP4C78</t>
  </si>
  <si>
    <t>QYP4C18</t>
  </si>
  <si>
    <t>QYP9E67</t>
  </si>
  <si>
    <t>QYP4A78</t>
  </si>
  <si>
    <t>RZQ9I80</t>
  </si>
  <si>
    <t>Prospector (Moto)</t>
  </si>
  <si>
    <t>RZL3C89</t>
  </si>
  <si>
    <t>MANUEL NETO</t>
  </si>
  <si>
    <t>RZM1A32</t>
  </si>
  <si>
    <t>EDSON DE SOUZA PEREIRA</t>
  </si>
  <si>
    <t>RZM1D72</t>
  </si>
  <si>
    <t>GLEYSON DE SOUSA</t>
  </si>
  <si>
    <t>RZM0I82</t>
  </si>
  <si>
    <t>RZL3D69</t>
  </si>
  <si>
    <t>RUA0H03</t>
  </si>
  <si>
    <t>ROT6C62</t>
  </si>
  <si>
    <t>RTZ8D13</t>
  </si>
  <si>
    <t>127/169</t>
  </si>
  <si>
    <t>RZQ9J70</t>
  </si>
  <si>
    <t>SMP0E50</t>
  </si>
  <si>
    <t>MOT*</t>
  </si>
  <si>
    <t>MOTOPODA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</si>
</sst>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</font>
    <font>
      <b/>
      <sz val="14"/>
      <color theme="1"/>
      <name val="Calibri"/>
      <family val="2"/>
      <scheme val="minor"/>
    </font>
    <font>
      <sz val="9"/>
      <color indexed="81"/>
      <name val="Segoe UI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0" xfId="0" applyFill="1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0" xfId="0" applyFill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ucas_moreira_cgbengenharia_onmicrosoft_com/Documents/&#193;rea%20de%20Trabalho/FROTA/CT%20-%20127%20-%20BACABAL/RASTREADORES/2025/ErberthPereira-targetlist(20260113).xls" TargetMode="External"/><Relationship Id="rId2" Type="http://schemas.openxmlformats.org/officeDocument/2006/relationships/externalLinkPath" Target="https://cgbengenharia-my.sharepoint.com/personal/lucas_moreira_cgbengenharia_onmicrosoft_com/Documents/&#193;rea%20de%20Trabalho/FROTA/CT%20-%20127%20-%20BACABAL/RASTREADORES/2025/ErberthPereira-targetlist(20260113).xls" TargetMode="External"/><Relationship Id="rId1" Type="http://schemas.openxmlformats.org/officeDocument/2006/relationships/externalLinkPath" Target="/personal/lucas_moreira_cgbengenharia_onmicrosoft_com/Documents/&#193;rea%20de%20Trabalho/FROTA/CT%20-%20127%20-%20BACABAL/RASTREADORES/2025/ErberthPereira-targetlist(20260113)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Micro\OneDrive%20-%20GRUPO%20CGB\&#193;rea%20de%20Trabalho\FROTA\CT%20-%20127%20-%20BACABAL\PCM\CUSTO%20COM%20MANUTEN&#199;&#195;O\MONITORAMENTO%20DE%20CUSTOS\2025\AGOSTO\POR%20BASE\Veiculos%20e%20Equipamentos_TESTE.xlsx" TargetMode="External"/><Relationship Id="rId2" Type="http://schemas.microsoft.com/office/2019/04/relationships/externalLinkLongPath" Target="/personal/lucas_moreira_cgbengenharia_onmicrosoft_com/Documents/&#193;rea%20de%20Trabalho/FROTA/CT%20-%20127%20-%20BACABAL/PCM/CUSTO%20COM%20MANUTEN&#199;&#195;O/MONITORAMENTO%20DE%20CUSTOS/2026/MAR&#199;O/POR%20BASE/Veiculos%20e%20Equipamentos_TESTE.xlsx?2E1B0DAF" TargetMode="External"/><Relationship Id="rId1" Type="http://schemas.openxmlformats.org/officeDocument/2006/relationships/externalLinkPath" Target="file:///\\2E1B0DAF\Veiculos%20e%20Equipamentos_TESTE.xlsx" TargetMode="External"/><Relationship Id="rId4" Type="http://schemas.openxmlformats.org/officeDocument/2006/relationships/externalLinkPath" Target="../../../lucas_moreira_cgbengenharia_onmicrosoft_com/Documents/&#193;rea%20de%20Trabalho/FROTA/CT%20-%20127%20-%20BACABAL/PCM/CUSTO%20COM%20MANUTEN&#199;&#195;O/MONITORAMENTO%20DE%20CUSTOS/2026/MAR&#199;O/POR%20BASE/Veiculos%20e%20Equipamentos_TEST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alo\Downloads\Estrutura%20-%2003.2026.xlsx" TargetMode="External"/><Relationship Id="rId1" Type="http://schemas.openxmlformats.org/officeDocument/2006/relationships/externalLinkPath" Target="file:///C:\Users\Italo\Downloads\Estrutura%20-%20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rberthPereira-targetlist(20260"/>
      <sheetName val="Planilha1"/>
    </sheetNames>
    <sheetDataSet>
      <sheetData sheetId="0" refreshError="1">
        <row r="2">
          <cell r="C2" t="str">
            <v>IMEI</v>
          </cell>
          <cell r="D2" t="str">
            <v>Placa do Veículo</v>
          </cell>
        </row>
        <row r="3">
          <cell r="C3" t="str">
            <v>350218700280294</v>
          </cell>
          <cell r="D3" t="str">
            <v>SOX9A06</v>
          </cell>
        </row>
        <row r="4">
          <cell r="C4" t="str">
            <v>350218700208824</v>
          </cell>
          <cell r="D4" t="str">
            <v>SOX2G59</v>
          </cell>
        </row>
        <row r="5">
          <cell r="C5" t="str">
            <v>350218700280260</v>
          </cell>
          <cell r="D5" t="str">
            <v>SOX0G97</v>
          </cell>
        </row>
        <row r="6">
          <cell r="C6" t="str">
            <v>350218700236395</v>
          </cell>
          <cell r="D6" t="str">
            <v>SOX8C96</v>
          </cell>
        </row>
        <row r="7">
          <cell r="C7" t="str">
            <v>350218700209046</v>
          </cell>
          <cell r="D7" t="str">
            <v>SOX2G09</v>
          </cell>
        </row>
        <row r="8">
          <cell r="C8" t="str">
            <v>350218700280401</v>
          </cell>
          <cell r="D8" t="str">
            <v>SOY0E70</v>
          </cell>
        </row>
        <row r="9">
          <cell r="C9" t="str">
            <v>350218700245388</v>
          </cell>
          <cell r="D9" t="str">
            <v>SOX8E76</v>
          </cell>
        </row>
        <row r="10">
          <cell r="C10" t="str">
            <v>350218700208972</v>
          </cell>
          <cell r="D10" t="str">
            <v>SOX2F19</v>
          </cell>
        </row>
        <row r="11">
          <cell r="C11" t="str">
            <v>350218700234952</v>
          </cell>
          <cell r="D11" t="str">
            <v>SOY0A70</v>
          </cell>
        </row>
        <row r="12">
          <cell r="C12" t="str">
            <v>350218700287190</v>
          </cell>
          <cell r="D12" t="str">
            <v>SOX0I57</v>
          </cell>
        </row>
        <row r="13">
          <cell r="C13" t="str">
            <v>350218700256021</v>
          </cell>
          <cell r="D13" t="str">
            <v>ROT6C62</v>
          </cell>
        </row>
        <row r="14">
          <cell r="C14" t="str">
            <v>350218700112836</v>
          </cell>
          <cell r="D14" t="str">
            <v>SNA7I69</v>
          </cell>
        </row>
        <row r="15">
          <cell r="C15" t="str">
            <v>350218700232248</v>
          </cell>
        </row>
        <row r="16">
          <cell r="C16" t="str">
            <v>350218700227964</v>
          </cell>
          <cell r="D16" t="str">
            <v>SNA7I55</v>
          </cell>
        </row>
        <row r="17">
          <cell r="C17" t="str">
            <v>350218700228848</v>
          </cell>
          <cell r="D17" t="str">
            <v>SNA7I66</v>
          </cell>
        </row>
        <row r="18">
          <cell r="C18" t="str">
            <v>350218700238854</v>
          </cell>
          <cell r="D18" t="str">
            <v>SOW8I17</v>
          </cell>
        </row>
        <row r="19">
          <cell r="C19" t="str">
            <v>350218700257490</v>
          </cell>
          <cell r="D19" t="str">
            <v>SNS9J95</v>
          </cell>
        </row>
        <row r="20">
          <cell r="C20" t="str">
            <v>350218700256591</v>
          </cell>
          <cell r="D20" t="str">
            <v>SNA7I34</v>
          </cell>
        </row>
        <row r="21">
          <cell r="C21" t="str">
            <v>350218700256658</v>
          </cell>
          <cell r="D21" t="str">
            <v>TEY6B01</v>
          </cell>
        </row>
        <row r="22">
          <cell r="C22" t="str">
            <v>350218700240306</v>
          </cell>
          <cell r="D22" t="str">
            <v>SMP0E66</v>
          </cell>
        </row>
        <row r="23">
          <cell r="C23" t="str">
            <v>350218700255932</v>
          </cell>
          <cell r="D23" t="str">
            <v>SMP0E58</v>
          </cell>
        </row>
        <row r="24">
          <cell r="C24" t="str">
            <v>350218700231123</v>
          </cell>
          <cell r="D24" t="str">
            <v>JCX0F54</v>
          </cell>
        </row>
        <row r="25">
          <cell r="C25" t="str">
            <v>350218700238060</v>
          </cell>
          <cell r="D25" t="str">
            <v>SNA7I51</v>
          </cell>
        </row>
        <row r="26">
          <cell r="C26" t="str">
            <v>350218700230489</v>
          </cell>
          <cell r="D26" t="str">
            <v>RZL3C39</v>
          </cell>
        </row>
        <row r="27">
          <cell r="C27" t="str">
            <v>350218700229895</v>
          </cell>
          <cell r="D27" t="str">
            <v>SMP0E67</v>
          </cell>
        </row>
        <row r="28">
          <cell r="C28" t="str">
            <v>350218700232295</v>
          </cell>
          <cell r="D28" t="str">
            <v>SOX8E25</v>
          </cell>
        </row>
        <row r="29">
          <cell r="C29" t="str">
            <v>350218700222528</v>
          </cell>
          <cell r="D29" t="str">
            <v>SOY0C50</v>
          </cell>
        </row>
        <row r="30">
          <cell r="C30" t="str">
            <v>350218700256393</v>
          </cell>
          <cell r="D30" t="str">
            <v>SNS9J75</v>
          </cell>
        </row>
        <row r="31">
          <cell r="C31" t="str">
            <v>350218700247665</v>
          </cell>
          <cell r="D31" t="str">
            <v>SNS1F66</v>
          </cell>
        </row>
        <row r="32">
          <cell r="C32" t="str">
            <v>350218700237351</v>
          </cell>
          <cell r="D32" t="str">
            <v>ROU7A90</v>
          </cell>
        </row>
        <row r="33">
          <cell r="C33" t="str">
            <v>350218700255783</v>
          </cell>
          <cell r="D33" t="str">
            <v>SNA7I61</v>
          </cell>
        </row>
        <row r="34">
          <cell r="C34" t="str">
            <v>350218700228541</v>
          </cell>
          <cell r="D34" t="str">
            <v>SNA7I39</v>
          </cell>
        </row>
        <row r="35">
          <cell r="C35" t="str">
            <v>350218700256633</v>
          </cell>
          <cell r="D35" t="str">
            <v>SNA7I31</v>
          </cell>
        </row>
        <row r="36">
          <cell r="C36" t="str">
            <v>350218700238839</v>
          </cell>
          <cell r="D36" t="str">
            <v>SNA7I86</v>
          </cell>
        </row>
        <row r="37">
          <cell r="C37" t="str">
            <v>350218700250701</v>
          </cell>
          <cell r="D37" t="str">
            <v>SNA7I44</v>
          </cell>
        </row>
        <row r="38">
          <cell r="C38" t="str">
            <v>350218700253820</v>
          </cell>
          <cell r="D38" t="str">
            <v>SMP0E72</v>
          </cell>
        </row>
        <row r="39">
          <cell r="C39" t="str">
            <v>350218700256070</v>
          </cell>
          <cell r="D39" t="str">
            <v>SNR3C87</v>
          </cell>
        </row>
        <row r="40">
          <cell r="C40" t="str">
            <v>350218700238391</v>
          </cell>
          <cell r="D40" t="str">
            <v>SOX8C05</v>
          </cell>
        </row>
        <row r="41">
          <cell r="C41" t="str">
            <v>350218700256781</v>
          </cell>
        </row>
        <row r="42">
          <cell r="C42" t="str">
            <v>350218700240678</v>
          </cell>
          <cell r="D42" t="str">
            <v>QYZ4D44</v>
          </cell>
        </row>
        <row r="43">
          <cell r="C43" t="str">
            <v>350218700244407</v>
          </cell>
        </row>
        <row r="44">
          <cell r="C44" t="str">
            <v>350218700228087</v>
          </cell>
        </row>
        <row r="45">
          <cell r="C45" t="str">
            <v>350218700254901</v>
          </cell>
        </row>
        <row r="46">
          <cell r="C46" t="str">
            <v>350218700250370</v>
          </cell>
          <cell r="D46" t="str">
            <v>SOQ2I63</v>
          </cell>
        </row>
        <row r="47">
          <cell r="C47" t="str">
            <v>350218700246469</v>
          </cell>
          <cell r="D47" t="str">
            <v>RZP0G44</v>
          </cell>
        </row>
        <row r="48">
          <cell r="C48" t="str">
            <v>350218700214707</v>
          </cell>
          <cell r="D48" t="str">
            <v>RUA0G83</v>
          </cell>
        </row>
        <row r="49">
          <cell r="C49" t="str">
            <v>350218700001740</v>
          </cell>
          <cell r="D49" t="str">
            <v>QYG9D53</v>
          </cell>
        </row>
        <row r="50">
          <cell r="C50" t="str">
            <v>350218700002649</v>
          </cell>
          <cell r="D50" t="str">
            <v>SMM7E79</v>
          </cell>
        </row>
        <row r="51">
          <cell r="C51" t="str">
            <v>350218700284148</v>
          </cell>
          <cell r="D51" t="str">
            <v>SMM5B74</v>
          </cell>
        </row>
        <row r="52">
          <cell r="C52" t="str">
            <v>350218700274784</v>
          </cell>
          <cell r="D52" t="str">
            <v>PDZ2223</v>
          </cell>
        </row>
        <row r="53">
          <cell r="C53" t="str">
            <v>350218700008406</v>
          </cell>
          <cell r="D53" t="str">
            <v>PDY2583</v>
          </cell>
        </row>
        <row r="54">
          <cell r="C54" t="str">
            <v>350218700215019</v>
          </cell>
          <cell r="D54" t="str">
            <v>SMM7E76</v>
          </cell>
        </row>
        <row r="55">
          <cell r="C55" t="str">
            <v>350218700006830</v>
          </cell>
          <cell r="D55" t="str">
            <v>SMM7E78</v>
          </cell>
        </row>
        <row r="56">
          <cell r="C56" t="str">
            <v>350218700015682</v>
          </cell>
          <cell r="D56" t="str">
            <v>SNS7E49</v>
          </cell>
        </row>
        <row r="57">
          <cell r="C57" t="str">
            <v>350218700198553</v>
          </cell>
          <cell r="D57" t="str">
            <v>PDY2953</v>
          </cell>
        </row>
        <row r="58">
          <cell r="C58" t="str">
            <v>350218700003514</v>
          </cell>
          <cell r="D58" t="str">
            <v>ROT6C65</v>
          </cell>
        </row>
        <row r="59">
          <cell r="C59" t="str">
            <v>350218700271376</v>
          </cell>
          <cell r="D59" t="str">
            <v>ROU7A79</v>
          </cell>
        </row>
        <row r="60">
          <cell r="C60" t="str">
            <v>350218700001344</v>
          </cell>
          <cell r="D60" t="str">
            <v>PEA5933</v>
          </cell>
        </row>
        <row r="61">
          <cell r="C61" t="str">
            <v>350218700017829</v>
          </cell>
          <cell r="D61" t="str">
            <v>SNS4A88</v>
          </cell>
        </row>
        <row r="62">
          <cell r="C62" t="str">
            <v>350218700272531</v>
          </cell>
          <cell r="D62" t="str">
            <v>PDY9293</v>
          </cell>
        </row>
        <row r="63">
          <cell r="C63" t="str">
            <v>350218700005667</v>
          </cell>
          <cell r="D63" t="str">
            <v>SMM9C87</v>
          </cell>
        </row>
        <row r="64">
          <cell r="C64" t="str">
            <v>350218700012374</v>
          </cell>
          <cell r="D64" t="str">
            <v>PEB5623</v>
          </cell>
        </row>
        <row r="65">
          <cell r="C65" t="str">
            <v>350218700011418</v>
          </cell>
          <cell r="D65" t="str">
            <v>SNW5B43</v>
          </cell>
        </row>
        <row r="66">
          <cell r="C66" t="str">
            <v>350218700001682</v>
          </cell>
          <cell r="D66" t="str">
            <v>SOX2B59</v>
          </cell>
        </row>
        <row r="67">
          <cell r="C67" t="str">
            <v>350218700267713</v>
          </cell>
          <cell r="D67" t="str">
            <v>SNW5D73</v>
          </cell>
        </row>
        <row r="68">
          <cell r="C68" t="str">
            <v>350218700010543</v>
          </cell>
          <cell r="D68" t="str">
            <v>TEY6B25</v>
          </cell>
        </row>
        <row r="69">
          <cell r="C69" t="str">
            <v>350218700011442</v>
          </cell>
          <cell r="D69" t="str">
            <v>PEB5573</v>
          </cell>
        </row>
        <row r="70">
          <cell r="C70" t="str">
            <v>350218700010857</v>
          </cell>
          <cell r="D70" t="str">
            <v>PEC0343</v>
          </cell>
        </row>
        <row r="71">
          <cell r="C71" t="str">
            <v>350218700016128</v>
          </cell>
          <cell r="D71" t="str">
            <v>SNS6E39</v>
          </cell>
        </row>
        <row r="72">
          <cell r="C72" t="str">
            <v>350218700290061</v>
          </cell>
          <cell r="D72" t="str">
            <v>PEB5613</v>
          </cell>
        </row>
        <row r="73">
          <cell r="C73" t="str">
            <v>350218700272101</v>
          </cell>
          <cell r="D73" t="str">
            <v>SNS7F89</v>
          </cell>
        </row>
        <row r="74">
          <cell r="C74" t="str">
            <v>350218700016821</v>
          </cell>
          <cell r="D74" t="str">
            <v>TEY6B20</v>
          </cell>
        </row>
        <row r="75">
          <cell r="C75" t="str">
            <v>350218700276409</v>
          </cell>
          <cell r="D75" t="str">
            <v>SPB8F97</v>
          </cell>
        </row>
        <row r="76">
          <cell r="C76" t="str">
            <v>350218700012226</v>
          </cell>
          <cell r="D76" t="str">
            <v>SNS1A79</v>
          </cell>
        </row>
        <row r="77">
          <cell r="C77" t="str">
            <v>350218700215233</v>
          </cell>
          <cell r="D77" t="str">
            <v>PEB5663</v>
          </cell>
        </row>
        <row r="78">
          <cell r="C78" t="str">
            <v>350218700234341</v>
          </cell>
          <cell r="D78" t="str">
            <v>TEY6A98</v>
          </cell>
        </row>
        <row r="79">
          <cell r="C79" t="str">
            <v>350218700303583</v>
          </cell>
          <cell r="D79" t="str">
            <v>PCH0215</v>
          </cell>
        </row>
        <row r="80">
          <cell r="C80" t="str">
            <v>350218700136512</v>
          </cell>
          <cell r="D80" t="str">
            <v>SNS7H19</v>
          </cell>
        </row>
        <row r="81">
          <cell r="C81" t="str">
            <v>350218700263886</v>
          </cell>
        </row>
        <row r="82">
          <cell r="C82" t="str">
            <v>350218700278546</v>
          </cell>
          <cell r="D82" t="str">
            <v>SNT3G70</v>
          </cell>
        </row>
        <row r="83">
          <cell r="C83" t="str">
            <v>350218700017076</v>
          </cell>
          <cell r="D83" t="str">
            <v>RUA0G96</v>
          </cell>
        </row>
        <row r="84">
          <cell r="C84" t="str">
            <v>350218700293537</v>
          </cell>
        </row>
        <row r="85">
          <cell r="C85" t="str">
            <v>350218700261666</v>
          </cell>
          <cell r="D85" t="str">
            <v>SMP0E57</v>
          </cell>
        </row>
        <row r="86">
          <cell r="C86" t="str">
            <v>350218700263548</v>
          </cell>
          <cell r="D86" t="str">
            <v>SNW5E33</v>
          </cell>
        </row>
        <row r="87">
          <cell r="C87" t="str">
            <v>350218700272614</v>
          </cell>
          <cell r="D87" t="str">
            <v>SNS7D69</v>
          </cell>
        </row>
        <row r="88">
          <cell r="C88" t="str">
            <v>350218700269537</v>
          </cell>
          <cell r="D88" t="str">
            <v>RZQ0A61</v>
          </cell>
        </row>
        <row r="89">
          <cell r="C89" t="str">
            <v>350218700261492</v>
          </cell>
          <cell r="D89" t="str">
            <v>PDY2H93</v>
          </cell>
        </row>
        <row r="90">
          <cell r="C90" t="str">
            <v>350218700270006</v>
          </cell>
          <cell r="D90" t="str">
            <v>SMP0E71</v>
          </cell>
        </row>
        <row r="91">
          <cell r="C91" t="str">
            <v>350218700015484</v>
          </cell>
          <cell r="D91" t="str">
            <v>SNS4C48</v>
          </cell>
        </row>
        <row r="92">
          <cell r="C92" t="str">
            <v>350218700115763</v>
          </cell>
          <cell r="D92" t="str">
            <v>SNS7G59</v>
          </cell>
        </row>
        <row r="93">
          <cell r="C93" t="str">
            <v>350218700000130</v>
          </cell>
          <cell r="D93" t="str">
            <v>SNT3F70</v>
          </cell>
        </row>
        <row r="94">
          <cell r="C94" t="str">
            <v>350218700016193</v>
          </cell>
          <cell r="D94" t="str">
            <v>SNJ9F34</v>
          </cell>
        </row>
        <row r="95">
          <cell r="C95" t="str">
            <v>350218700287562</v>
          </cell>
          <cell r="D95" t="str">
            <v>SNW5D03</v>
          </cell>
        </row>
        <row r="96">
          <cell r="C96" t="str">
            <v>350218700276144</v>
          </cell>
          <cell r="D96" t="str">
            <v>TEY6B22</v>
          </cell>
        </row>
        <row r="97">
          <cell r="C97" t="str">
            <v>350218700274727</v>
          </cell>
          <cell r="D97" t="str">
            <v>RUA0H01</v>
          </cell>
        </row>
        <row r="98">
          <cell r="C98" t="str">
            <v>350218700214772</v>
          </cell>
          <cell r="D98" t="str">
            <v>SNS7F49</v>
          </cell>
        </row>
        <row r="99">
          <cell r="C99" t="str">
            <v>350218700118239</v>
          </cell>
          <cell r="D99" t="str">
            <v>SMM9F74</v>
          </cell>
        </row>
        <row r="100">
          <cell r="C100" t="str">
            <v>350218700007226</v>
          </cell>
          <cell r="D100" t="str">
            <v>SNS7G49</v>
          </cell>
        </row>
        <row r="101">
          <cell r="C101" t="str">
            <v>350218700274222</v>
          </cell>
          <cell r="D101" t="str">
            <v>QYG9I76</v>
          </cell>
        </row>
        <row r="102">
          <cell r="C102" t="str">
            <v>350218700291127</v>
          </cell>
          <cell r="D102" t="str">
            <v>SNS1B59</v>
          </cell>
        </row>
        <row r="103">
          <cell r="C103" t="str">
            <v>350218700294063</v>
          </cell>
          <cell r="D103" t="str">
            <v>ROU6H94</v>
          </cell>
        </row>
        <row r="104">
          <cell r="C104" t="str">
            <v>350218700261443</v>
          </cell>
          <cell r="D104" t="str">
            <v>PCA4437</v>
          </cell>
        </row>
        <row r="105">
          <cell r="C105" t="str">
            <v>350218700001062</v>
          </cell>
          <cell r="D105" t="str">
            <v>TEY6B11</v>
          </cell>
        </row>
        <row r="106">
          <cell r="C106" t="str">
            <v>350218700251584</v>
          </cell>
          <cell r="D106" t="str">
            <v>SNS7C99</v>
          </cell>
        </row>
        <row r="107">
          <cell r="C107" t="str">
            <v>350218700269024</v>
          </cell>
          <cell r="D107" t="str">
            <v>SNT3J70</v>
          </cell>
        </row>
        <row r="108">
          <cell r="C108" t="str">
            <v>350218700001963</v>
          </cell>
        </row>
        <row r="109">
          <cell r="C109" t="str">
            <v>350218700278272</v>
          </cell>
          <cell r="D109" t="str">
            <v>SNS4B18</v>
          </cell>
        </row>
        <row r="110">
          <cell r="C110" t="str">
            <v>350218700017175</v>
          </cell>
          <cell r="D110" t="str">
            <v>SNS7C09</v>
          </cell>
        </row>
        <row r="111">
          <cell r="C111" t="str">
            <v>350218700006871</v>
          </cell>
          <cell r="D111" t="str">
            <v>TGO6A31</v>
          </cell>
        </row>
        <row r="112">
          <cell r="C112" t="str">
            <v>350218700005410</v>
          </cell>
          <cell r="D112" t="str">
            <v>TEY6B16</v>
          </cell>
        </row>
        <row r="113">
          <cell r="C113" t="str">
            <v>350218700293560</v>
          </cell>
          <cell r="D113" t="str">
            <v>SNS4A08</v>
          </cell>
        </row>
        <row r="114">
          <cell r="C114" t="str">
            <v>350218700000536</v>
          </cell>
        </row>
        <row r="115">
          <cell r="C115" t="str">
            <v>350218700017563</v>
          </cell>
          <cell r="D115" t="str">
            <v>PDY2893</v>
          </cell>
        </row>
        <row r="116">
          <cell r="C116" t="str">
            <v>350218700120235</v>
          </cell>
          <cell r="D116" t="str">
            <v>TEY6A99</v>
          </cell>
        </row>
        <row r="117">
          <cell r="C117" t="str">
            <v>350218700146198</v>
          </cell>
          <cell r="D117" t="str">
            <v>SMP6C64</v>
          </cell>
        </row>
        <row r="118">
          <cell r="C118" t="str">
            <v>350218700151453</v>
          </cell>
          <cell r="D118" t="str">
            <v>SOW9C37</v>
          </cell>
        </row>
        <row r="119">
          <cell r="C119" t="str">
            <v>350218700165552</v>
          </cell>
          <cell r="D119" t="str">
            <v>RZR5J07</v>
          </cell>
        </row>
        <row r="120">
          <cell r="C120" t="str">
            <v>350218700197332</v>
          </cell>
          <cell r="D120" t="str">
            <v>RZQ9H90</v>
          </cell>
        </row>
        <row r="121">
          <cell r="C121" t="str">
            <v>350218700203486</v>
          </cell>
          <cell r="D121" t="str">
            <v>RZM0J92</v>
          </cell>
        </row>
        <row r="122">
          <cell r="C122" t="str">
            <v>350218700134525</v>
          </cell>
          <cell r="D122" t="str">
            <v>PEC0243</v>
          </cell>
        </row>
        <row r="123">
          <cell r="C123" t="str">
            <v>350218700145901</v>
          </cell>
          <cell r="D123" t="str">
            <v>SMP6C70</v>
          </cell>
        </row>
        <row r="124">
          <cell r="C124" t="str">
            <v>350218700147493</v>
          </cell>
          <cell r="D124" t="str">
            <v>ROU6H74</v>
          </cell>
        </row>
        <row r="125">
          <cell r="C125" t="str">
            <v>350218700167293</v>
          </cell>
          <cell r="D125" t="str">
            <v>SNJ4E15</v>
          </cell>
        </row>
        <row r="126">
          <cell r="C126" t="str">
            <v>350218700184264</v>
          </cell>
          <cell r="D126" t="str">
            <v>SMP0E78</v>
          </cell>
        </row>
        <row r="127">
          <cell r="C127" t="str">
            <v>350218700149002</v>
          </cell>
          <cell r="D127" t="str">
            <v>ROU6E58</v>
          </cell>
        </row>
        <row r="128">
          <cell r="C128" t="str">
            <v>350218700168747</v>
          </cell>
          <cell r="D128" t="str">
            <v>ROV1J74</v>
          </cell>
        </row>
        <row r="129">
          <cell r="C129" t="str">
            <v>350218700193778</v>
          </cell>
          <cell r="D129" t="str">
            <v>SNJ9F58</v>
          </cell>
        </row>
        <row r="130">
          <cell r="C130" t="str">
            <v>350218700200409</v>
          </cell>
          <cell r="D130" t="str">
            <v>RZU4I25</v>
          </cell>
        </row>
        <row r="131">
          <cell r="C131" t="str">
            <v>350218700176575</v>
          </cell>
          <cell r="D131" t="str">
            <v>PEB5673</v>
          </cell>
        </row>
        <row r="132">
          <cell r="C132" t="str">
            <v>350218700205317</v>
          </cell>
          <cell r="D132" t="str">
            <v>PEC0353</v>
          </cell>
        </row>
        <row r="133">
          <cell r="C133" t="str">
            <v>350218700195864</v>
          </cell>
          <cell r="D133" t="str">
            <v>SMP6C66</v>
          </cell>
        </row>
        <row r="134">
          <cell r="C134" t="str">
            <v>350218700218591</v>
          </cell>
          <cell r="D134" t="str">
            <v>RZQ9H30</v>
          </cell>
        </row>
        <row r="135">
          <cell r="C135" t="str">
            <v>350218700194107</v>
          </cell>
          <cell r="D135" t="str">
            <v>ROU6H98</v>
          </cell>
        </row>
        <row r="136">
          <cell r="C136" t="str">
            <v>350218700192820</v>
          </cell>
          <cell r="D136" t="str">
            <v>QYG7A14</v>
          </cell>
        </row>
        <row r="137">
          <cell r="C137" t="str">
            <v>350218700219730</v>
          </cell>
          <cell r="D137" t="str">
            <v>SMP0E51</v>
          </cell>
        </row>
        <row r="138">
          <cell r="C138" t="str">
            <v>350218700196912</v>
          </cell>
          <cell r="D138" t="str">
            <v>ROU7A92</v>
          </cell>
        </row>
        <row r="139">
          <cell r="C139" t="str">
            <v>350218700162179</v>
          </cell>
          <cell r="D139" t="str">
            <v>QYG6J04</v>
          </cell>
        </row>
        <row r="140">
          <cell r="C140" t="str">
            <v>350218700145273</v>
          </cell>
          <cell r="D140" t="str">
            <v>SMP6C55</v>
          </cell>
        </row>
        <row r="141">
          <cell r="C141" t="str">
            <v>350218700200383</v>
          </cell>
          <cell r="D141" t="str">
            <v>QYG9C33</v>
          </cell>
        </row>
        <row r="142">
          <cell r="C142" t="str">
            <v>350218700170982</v>
          </cell>
          <cell r="D142" t="str">
            <v>SMP0E64</v>
          </cell>
        </row>
        <row r="143">
          <cell r="C143" t="str">
            <v>350218700211968</v>
          </cell>
          <cell r="D143" t="str">
            <v>ROU7A77</v>
          </cell>
        </row>
        <row r="144">
          <cell r="C144" t="str">
            <v>350218700109246</v>
          </cell>
        </row>
        <row r="145">
          <cell r="C145" t="str">
            <v>350218700112331</v>
          </cell>
          <cell r="D145" t="str">
            <v>PCF7927</v>
          </cell>
        </row>
        <row r="146">
          <cell r="C146" t="str">
            <v>350218700211455</v>
          </cell>
          <cell r="D146" t="str">
            <v>TEY6B17</v>
          </cell>
        </row>
        <row r="147">
          <cell r="C147" t="str">
            <v>350218700174380</v>
          </cell>
        </row>
        <row r="148">
          <cell r="C148" t="str">
            <v>350218700143310</v>
          </cell>
          <cell r="D148" t="str">
            <v>SOW9B27</v>
          </cell>
        </row>
        <row r="149">
          <cell r="C149" t="str">
            <v>350218700105574</v>
          </cell>
          <cell r="D149" t="str">
            <v>RZR1G10</v>
          </cell>
        </row>
        <row r="150">
          <cell r="C150" t="str">
            <v>350218700166394</v>
          </cell>
          <cell r="D150" t="str">
            <v>ROU6E64</v>
          </cell>
        </row>
        <row r="151">
          <cell r="C151" t="str">
            <v>350218700215977</v>
          </cell>
          <cell r="D151" t="str">
            <v>RZK4I18</v>
          </cell>
        </row>
        <row r="152">
          <cell r="C152" t="str">
            <v>350218700121340</v>
          </cell>
          <cell r="D152" t="str">
            <v>SNM6D11</v>
          </cell>
        </row>
        <row r="153">
          <cell r="C153" t="str">
            <v>350218700131059</v>
          </cell>
          <cell r="D153" t="str">
            <v>SMM5B77</v>
          </cell>
        </row>
        <row r="154">
          <cell r="C154" t="str">
            <v>350218700171329</v>
          </cell>
          <cell r="D154" t="str">
            <v>RZY2A86</v>
          </cell>
        </row>
        <row r="155">
          <cell r="C155" t="str">
            <v>350218700188752</v>
          </cell>
          <cell r="D155" t="str">
            <v>SMM7F01</v>
          </cell>
        </row>
        <row r="156">
          <cell r="C156" t="str">
            <v>350218700103025</v>
          </cell>
          <cell r="D156" t="str">
            <v>RZT0J51</v>
          </cell>
        </row>
        <row r="157">
          <cell r="C157" t="str">
            <v>350218700140928</v>
          </cell>
          <cell r="D157" t="str">
            <v>CRX3N</v>
          </cell>
        </row>
        <row r="158">
          <cell r="C158" t="str">
            <v>350218700111440</v>
          </cell>
          <cell r="D158" t="str">
            <v>QYG9C33</v>
          </cell>
        </row>
        <row r="159">
          <cell r="C159" t="str">
            <v>350218700139276</v>
          </cell>
          <cell r="D159" t="str">
            <v>RZR6B37</v>
          </cell>
        </row>
        <row r="160">
          <cell r="C160" t="str">
            <v>350218700139094</v>
          </cell>
          <cell r="D160" t="str">
            <v>QYP9D17</v>
          </cell>
        </row>
        <row r="161">
          <cell r="C161" t="str">
            <v>350218700202116</v>
          </cell>
          <cell r="D161" t="str">
            <v>SOX9I46</v>
          </cell>
        </row>
        <row r="162">
          <cell r="C162" t="str">
            <v>350218700137056</v>
          </cell>
          <cell r="D162" t="str">
            <v>SMP0E61</v>
          </cell>
        </row>
        <row r="163">
          <cell r="C163" t="str">
            <v>350218700114253</v>
          </cell>
          <cell r="D163" t="str">
            <v>SOX8A85</v>
          </cell>
        </row>
        <row r="164">
          <cell r="C164" t="str">
            <v>350218700223575</v>
          </cell>
          <cell r="D164" t="str">
            <v>RZQ9I73</v>
          </cell>
        </row>
        <row r="165">
          <cell r="C165" t="str">
            <v>350218700174224</v>
          </cell>
          <cell r="D165" t="str">
            <v>SMP6C73</v>
          </cell>
        </row>
        <row r="166">
          <cell r="C166" t="str">
            <v>350218700187903</v>
          </cell>
          <cell r="D166" t="str">
            <v>ROU6H82</v>
          </cell>
        </row>
        <row r="167">
          <cell r="C167" t="str">
            <v>350218700193349</v>
          </cell>
          <cell r="D167" t="str">
            <v>QYK3D40</v>
          </cell>
        </row>
        <row r="168">
          <cell r="C168" t="str">
            <v>350218700145760</v>
          </cell>
          <cell r="D168" t="str">
            <v>TEY6B04</v>
          </cell>
        </row>
        <row r="169">
          <cell r="C169" t="str">
            <v>350218700204187</v>
          </cell>
          <cell r="D169" t="str">
            <v>RZT2A74</v>
          </cell>
        </row>
        <row r="170">
          <cell r="C170" t="str">
            <v>350218700219565</v>
          </cell>
          <cell r="D170" t="str">
            <v>ROU6E55</v>
          </cell>
        </row>
        <row r="171">
          <cell r="C171" t="str">
            <v>350218700138120</v>
          </cell>
          <cell r="D171" t="str">
            <v>SMP0E76</v>
          </cell>
        </row>
        <row r="172">
          <cell r="C172" t="str">
            <v>350218700112018</v>
          </cell>
          <cell r="D172" t="str">
            <v>TEY6B27</v>
          </cell>
        </row>
        <row r="173">
          <cell r="C173" t="str">
            <v>350218700130184</v>
          </cell>
          <cell r="D173" t="str">
            <v>RZQ1B74</v>
          </cell>
        </row>
        <row r="174">
          <cell r="C174" t="str">
            <v>350218700167418</v>
          </cell>
          <cell r="D174" t="str">
            <v>SNQ1J22</v>
          </cell>
        </row>
        <row r="175">
          <cell r="C175" t="str">
            <v>350218700204484</v>
          </cell>
          <cell r="D175" t="str">
            <v>RZY0H65</v>
          </cell>
        </row>
        <row r="176">
          <cell r="C176" t="str">
            <v>350218700100807</v>
          </cell>
          <cell r="D176" t="str">
            <v>SMM9C75</v>
          </cell>
        </row>
        <row r="177">
          <cell r="C177" t="str">
            <v>350218700116134</v>
          </cell>
          <cell r="D177" t="str">
            <v>ROU7A80</v>
          </cell>
        </row>
        <row r="178">
          <cell r="C178" t="str">
            <v>350218700140936</v>
          </cell>
          <cell r="D178" t="str">
            <v>ROY8H86</v>
          </cell>
        </row>
        <row r="179">
          <cell r="C179" t="str">
            <v>350218700110715</v>
          </cell>
        </row>
        <row r="180">
          <cell r="C180" t="str">
            <v>350218700139615</v>
          </cell>
          <cell r="D180" t="str">
            <v>RZP0F04</v>
          </cell>
        </row>
        <row r="181">
          <cell r="C181" t="str">
            <v>350218700176302</v>
          </cell>
          <cell r="D181" t="str">
            <v>SOX8D75</v>
          </cell>
        </row>
        <row r="182">
          <cell r="C182" t="str">
            <v>350218700182565</v>
          </cell>
          <cell r="D182" t="str">
            <v>SMP0E53</v>
          </cell>
        </row>
        <row r="183">
          <cell r="C183" t="str">
            <v>350218700162575</v>
          </cell>
        </row>
        <row r="184">
          <cell r="C184" t="str">
            <v>350218700111721</v>
          </cell>
          <cell r="D184" t="str">
            <v>ROU6E53</v>
          </cell>
        </row>
        <row r="185">
          <cell r="C185" t="str">
            <v>350218700105772</v>
          </cell>
        </row>
        <row r="186">
          <cell r="C186" t="str">
            <v>350218700121886</v>
          </cell>
          <cell r="D186" t="str">
            <v>SNO4F70</v>
          </cell>
        </row>
        <row r="187">
          <cell r="C187" t="str">
            <v>350218700119955</v>
          </cell>
          <cell r="D187" t="str">
            <v>SMP0E50</v>
          </cell>
        </row>
        <row r="188">
          <cell r="C188" t="str">
            <v>350218700149986</v>
          </cell>
          <cell r="D188" t="str">
            <v>RZM9D01</v>
          </cell>
        </row>
        <row r="189">
          <cell r="C189" t="str">
            <v>350218700139532</v>
          </cell>
          <cell r="D189" t="str">
            <v>SNR2D87</v>
          </cell>
        </row>
        <row r="190">
          <cell r="C190" t="str">
            <v>350218700217478</v>
          </cell>
          <cell r="D190" t="str">
            <v>ROU6H57</v>
          </cell>
        </row>
        <row r="191">
          <cell r="C191" t="str">
            <v>350218700114212</v>
          </cell>
          <cell r="D191" t="str">
            <v>SMM7E85</v>
          </cell>
        </row>
        <row r="192">
          <cell r="C192" t="str">
            <v>350218700112349</v>
          </cell>
          <cell r="D192" t="str">
            <v>SNJ9F49</v>
          </cell>
        </row>
        <row r="193">
          <cell r="C193" t="str">
            <v>350218700143088</v>
          </cell>
          <cell r="D193" t="str">
            <v>RZL4H98</v>
          </cell>
        </row>
        <row r="194">
          <cell r="C194" t="str">
            <v>350218700197720</v>
          </cell>
          <cell r="D194" t="str">
            <v>RZY6E65</v>
          </cell>
        </row>
        <row r="195">
          <cell r="C195" t="str">
            <v>350218700114204</v>
          </cell>
          <cell r="D195" t="str">
            <v>SOX6G76</v>
          </cell>
        </row>
        <row r="196">
          <cell r="C196" t="str">
            <v>350218700178076</v>
          </cell>
          <cell r="D196" t="str">
            <v>RZQ9H10</v>
          </cell>
        </row>
        <row r="197">
          <cell r="C197" t="str">
            <v>350218700166071</v>
          </cell>
          <cell r="D197" t="str">
            <v>RZY2F16</v>
          </cell>
        </row>
        <row r="198">
          <cell r="C198" t="str">
            <v>350218700193901</v>
          </cell>
          <cell r="D198" t="str">
            <v>SMP6C58</v>
          </cell>
        </row>
        <row r="199">
          <cell r="C199" t="str">
            <v>350218700172350</v>
          </cell>
          <cell r="D199" t="str">
            <v>SMM7H39</v>
          </cell>
        </row>
        <row r="200">
          <cell r="C200" t="str">
            <v>350218700119708</v>
          </cell>
          <cell r="D200" t="str">
            <v>RZY5F84</v>
          </cell>
        </row>
        <row r="201">
          <cell r="C201" t="str">
            <v>350218700146164</v>
          </cell>
          <cell r="D201" t="str">
            <v>SOX8C56</v>
          </cell>
        </row>
        <row r="202">
          <cell r="C202" t="str">
            <v>350218700194768</v>
          </cell>
          <cell r="D202" t="str">
            <v>RZY5C44</v>
          </cell>
        </row>
        <row r="203">
          <cell r="C203" t="str">
            <v>350218700120573</v>
          </cell>
          <cell r="D203" t="str">
            <v>SMP0E70</v>
          </cell>
        </row>
        <row r="204">
          <cell r="C204" t="str">
            <v>350218700132487</v>
          </cell>
          <cell r="D204" t="str">
            <v>TEY6B23</v>
          </cell>
        </row>
        <row r="205">
          <cell r="C205" t="str">
            <v>350218700205036</v>
          </cell>
          <cell r="D205" t="str">
            <v>RZY1C85</v>
          </cell>
        </row>
        <row r="206">
          <cell r="C206" t="str">
            <v>350218700108669</v>
          </cell>
          <cell r="D206" t="str">
            <v>RZY7B05</v>
          </cell>
        </row>
        <row r="207">
          <cell r="C207" t="str">
            <v>350218700196086</v>
          </cell>
          <cell r="D207" t="str">
            <v>SNT3D60</v>
          </cell>
        </row>
        <row r="208">
          <cell r="C208" t="str">
            <v>350218700131661</v>
          </cell>
          <cell r="D208" t="str">
            <v>SMP0E79</v>
          </cell>
        </row>
        <row r="209">
          <cell r="C209" t="str">
            <v>350218700113834</v>
          </cell>
          <cell r="D209" t="str">
            <v>SOW9A57</v>
          </cell>
        </row>
        <row r="210">
          <cell r="C210" t="str">
            <v>350218700136611</v>
          </cell>
          <cell r="D210" t="str">
            <v>RZY6D45</v>
          </cell>
        </row>
        <row r="211">
          <cell r="C211" t="str">
            <v>350218700118767</v>
          </cell>
          <cell r="D211" t="str">
            <v>ROU7A73</v>
          </cell>
        </row>
        <row r="212">
          <cell r="C212" t="str">
            <v>350218700205150</v>
          </cell>
          <cell r="D212" t="str">
            <v>RZY6C85</v>
          </cell>
        </row>
        <row r="213">
          <cell r="C213" t="str">
            <v>350218700190634</v>
          </cell>
          <cell r="D213" t="str">
            <v>RZY2G26</v>
          </cell>
        </row>
        <row r="214">
          <cell r="C214" t="str">
            <v>350218700105533</v>
          </cell>
          <cell r="D214" t="str">
            <v>RZY1C45</v>
          </cell>
        </row>
        <row r="215">
          <cell r="C215" t="str">
            <v>350218700204294</v>
          </cell>
          <cell r="D215" t="str">
            <v>QYK3F40</v>
          </cell>
        </row>
        <row r="216">
          <cell r="C216" t="str">
            <v>350218700171113</v>
          </cell>
          <cell r="D216" t="str">
            <v>SMP0E56</v>
          </cell>
        </row>
        <row r="217">
          <cell r="C217" t="str">
            <v>350218700190493</v>
          </cell>
          <cell r="D217" t="str">
            <v>RZR7D91</v>
          </cell>
        </row>
        <row r="218">
          <cell r="C218" t="str">
            <v>350218700126042</v>
          </cell>
          <cell r="D218" t="str">
            <v>ROU7A86</v>
          </cell>
        </row>
        <row r="219">
          <cell r="C219" t="str">
            <v>350218700211562</v>
          </cell>
        </row>
        <row r="220">
          <cell r="C220" t="str">
            <v>350218700138237</v>
          </cell>
          <cell r="D220" t="str">
            <v>SOX8C85</v>
          </cell>
        </row>
        <row r="221">
          <cell r="C221" t="str">
            <v>350218700121126</v>
          </cell>
          <cell r="D221" t="str">
            <v>SMM7E74</v>
          </cell>
        </row>
        <row r="222">
          <cell r="C222" t="str">
            <v>350218700118288</v>
          </cell>
          <cell r="D222" t="str">
            <v>RZL3D19</v>
          </cell>
        </row>
        <row r="223">
          <cell r="C223" t="str">
            <v>350218700140258</v>
          </cell>
        </row>
        <row r="224">
          <cell r="C224" t="str">
            <v>350218700107760</v>
          </cell>
          <cell r="D224" t="str">
            <v>RZY6A34</v>
          </cell>
        </row>
        <row r="225">
          <cell r="C225" t="str">
            <v>350218700135910</v>
          </cell>
          <cell r="D225" t="str">
            <v>SMP0E69</v>
          </cell>
        </row>
        <row r="226">
          <cell r="C226" t="str">
            <v>350218700173192</v>
          </cell>
          <cell r="D226" t="str">
            <v>ROU7A88</v>
          </cell>
        </row>
        <row r="227">
          <cell r="C227" t="str">
            <v>350218700120953</v>
          </cell>
          <cell r="D227" t="str">
            <v>SOW9C97</v>
          </cell>
        </row>
        <row r="228">
          <cell r="C228" t="str">
            <v>350218700171311</v>
          </cell>
          <cell r="D228" t="str">
            <v>PEB5643</v>
          </cell>
        </row>
        <row r="229">
          <cell r="C229" t="str">
            <v>350218700221231</v>
          </cell>
        </row>
        <row r="230">
          <cell r="C230" t="str">
            <v>350218700148699</v>
          </cell>
          <cell r="D230" t="str">
            <v>RZL5E08</v>
          </cell>
        </row>
        <row r="231">
          <cell r="C231" t="str">
            <v>350218700153889</v>
          </cell>
          <cell r="D231" t="str">
            <v>QYQ8C35</v>
          </cell>
        </row>
        <row r="232">
          <cell r="C232" t="str">
            <v>350218700200664</v>
          </cell>
          <cell r="D232" t="str">
            <v>SMP6C60</v>
          </cell>
        </row>
        <row r="233">
          <cell r="C233" t="str">
            <v>350218700171196</v>
          </cell>
          <cell r="D233" t="str">
            <v>SOD4F36</v>
          </cell>
        </row>
        <row r="234">
          <cell r="C234" t="str">
            <v>350218700170024</v>
          </cell>
          <cell r="D234" t="str">
            <v>PEC0223</v>
          </cell>
        </row>
        <row r="235">
          <cell r="C235" t="str">
            <v>350218700115615</v>
          </cell>
          <cell r="D235" t="str">
            <v>PCG7705</v>
          </cell>
        </row>
        <row r="236">
          <cell r="C236" t="str">
            <v>350218700218484</v>
          </cell>
          <cell r="D236" t="str">
            <v>SOX2D99</v>
          </cell>
        </row>
        <row r="237">
          <cell r="C237" t="str">
            <v>350218700117041</v>
          </cell>
          <cell r="D237" t="str">
            <v>ROV1J63</v>
          </cell>
        </row>
        <row r="238">
          <cell r="C238" t="str">
            <v>350218700167343</v>
          </cell>
          <cell r="D238" t="str">
            <v>RZR1F70</v>
          </cell>
        </row>
        <row r="239">
          <cell r="C239" t="str">
            <v>350218700170768</v>
          </cell>
          <cell r="D239" t="str">
            <v>SOX6G06</v>
          </cell>
        </row>
        <row r="240">
          <cell r="C240" t="str">
            <v>350218700123213</v>
          </cell>
          <cell r="D240" t="str">
            <v>SOX8C65</v>
          </cell>
        </row>
        <row r="241">
          <cell r="C241" t="str">
            <v>350218700107364</v>
          </cell>
          <cell r="D241" t="str">
            <v>RZY7B75</v>
          </cell>
        </row>
        <row r="242">
          <cell r="C242" t="str">
            <v>350218700133881</v>
          </cell>
          <cell r="D242" t="str">
            <v>SMP0E81</v>
          </cell>
        </row>
        <row r="243">
          <cell r="C243" t="str">
            <v>350218700158078</v>
          </cell>
          <cell r="D243" t="str">
            <v>SMM5B73</v>
          </cell>
        </row>
        <row r="244">
          <cell r="C244" t="str">
            <v>350218700208733</v>
          </cell>
          <cell r="D244" t="str">
            <v>SMM9C78</v>
          </cell>
        </row>
        <row r="245">
          <cell r="C245" t="str">
            <v>350218700117173</v>
          </cell>
          <cell r="D245" t="str">
            <v>PDY9283</v>
          </cell>
        </row>
        <row r="246">
          <cell r="C246" t="str">
            <v>350218700150760</v>
          </cell>
          <cell r="D246" t="str">
            <v>TEY6B35</v>
          </cell>
        </row>
        <row r="247">
          <cell r="C247" t="str">
            <v>350218700200946</v>
          </cell>
          <cell r="D247" t="str">
            <v>RZO1I53</v>
          </cell>
        </row>
        <row r="248">
          <cell r="C248" t="str">
            <v>350218700110921</v>
          </cell>
          <cell r="D248" t="str">
            <v>SMP0E52</v>
          </cell>
        </row>
        <row r="249">
          <cell r="C249" t="str">
            <v>350218700115854</v>
          </cell>
        </row>
        <row r="250">
          <cell r="C250" t="str">
            <v>350218700130432</v>
          </cell>
          <cell r="D250" t="str">
            <v>RZY5D04</v>
          </cell>
        </row>
        <row r="251">
          <cell r="C251" t="str">
            <v>350218700142197</v>
          </cell>
          <cell r="D251" t="str">
            <v>SOX6G56</v>
          </cell>
        </row>
        <row r="252">
          <cell r="C252" t="str">
            <v>350218700147444</v>
          </cell>
          <cell r="D252" t="str">
            <v>RZT0I21</v>
          </cell>
        </row>
        <row r="253">
          <cell r="C253" t="str">
            <v>350218700193562</v>
          </cell>
          <cell r="D253" t="str">
            <v>SOX8C26</v>
          </cell>
        </row>
        <row r="254">
          <cell r="C254" t="str">
            <v>350218700143997</v>
          </cell>
          <cell r="D254" t="str">
            <v>RZY0J15</v>
          </cell>
        </row>
        <row r="255">
          <cell r="C255" t="str">
            <v>350218700138005</v>
          </cell>
          <cell r="D255" t="str">
            <v>SOD4F46</v>
          </cell>
        </row>
        <row r="256">
          <cell r="C256" t="str">
            <v>350218700219532</v>
          </cell>
          <cell r="D256" t="str">
            <v>RZY9J76</v>
          </cell>
        </row>
        <row r="257">
          <cell r="C257" t="str">
            <v>350218700167400</v>
          </cell>
          <cell r="D257" t="str">
            <v>SMP0E75</v>
          </cell>
        </row>
        <row r="258">
          <cell r="C258" t="str">
            <v>350218700225240</v>
          </cell>
          <cell r="D258" t="str">
            <v>PED0343</v>
          </cell>
        </row>
        <row r="259">
          <cell r="C259" t="str">
            <v>350218700122769</v>
          </cell>
          <cell r="D259" t="str">
            <v>SMM9C84</v>
          </cell>
        </row>
        <row r="260">
          <cell r="C260" t="str">
            <v>350218700108149</v>
          </cell>
          <cell r="D260" t="str">
            <v>RZK4I58</v>
          </cell>
        </row>
        <row r="261">
          <cell r="C261" t="str">
            <v>350218700113891</v>
          </cell>
          <cell r="D261" t="str">
            <v>SMP0E73</v>
          </cell>
        </row>
        <row r="262">
          <cell r="C262" t="str">
            <v>350218700102183</v>
          </cell>
          <cell r="D262" t="str">
            <v>TEY6B05</v>
          </cell>
        </row>
        <row r="263">
          <cell r="C263" t="str">
            <v>350218700125887</v>
          </cell>
          <cell r="D263" t="str">
            <v>SNJ0G01</v>
          </cell>
        </row>
        <row r="264">
          <cell r="C264" t="str">
            <v>350218700160504</v>
          </cell>
          <cell r="D264" t="str">
            <v>SAY9F26</v>
          </cell>
        </row>
        <row r="265">
          <cell r="C265" t="str">
            <v>350218700132024</v>
          </cell>
          <cell r="D265" t="str">
            <v>SMP0E62</v>
          </cell>
        </row>
        <row r="266">
          <cell r="C266" t="str">
            <v>350218700148756</v>
          </cell>
          <cell r="D266" t="str">
            <v>RZO3I38</v>
          </cell>
        </row>
        <row r="267">
          <cell r="C267" t="str">
            <v>350218700121852</v>
          </cell>
          <cell r="D267" t="str">
            <v>SMM9C69</v>
          </cell>
        </row>
        <row r="268">
          <cell r="C268" t="str">
            <v>350218700113693</v>
          </cell>
          <cell r="D268" t="str">
            <v>PCG7765</v>
          </cell>
        </row>
        <row r="269">
          <cell r="C269" t="str">
            <v>350218700102761</v>
          </cell>
          <cell r="D269" t="str">
            <v>SMP0E65</v>
          </cell>
        </row>
        <row r="270">
          <cell r="C270" t="str">
            <v>350218700117447</v>
          </cell>
          <cell r="D270" t="str">
            <v>PCA4297</v>
          </cell>
        </row>
        <row r="271">
          <cell r="C271" t="str">
            <v>350218700115961</v>
          </cell>
          <cell r="D271" t="str">
            <v>SMM9C83</v>
          </cell>
        </row>
        <row r="272">
          <cell r="C272" t="str">
            <v>350218700103561</v>
          </cell>
          <cell r="D272" t="str">
            <v>SPB8E27</v>
          </cell>
        </row>
        <row r="273">
          <cell r="C273" t="str">
            <v>350218700115714</v>
          </cell>
          <cell r="D273" t="str">
            <v>RZT1A41</v>
          </cell>
        </row>
        <row r="274">
          <cell r="C274" t="str">
            <v>350218700160934</v>
          </cell>
          <cell r="D274" t="str">
            <v>SOX7D45</v>
          </cell>
        </row>
        <row r="275">
          <cell r="C275" t="str">
            <v>350218700226735</v>
          </cell>
          <cell r="D275" t="str">
            <v>SMM7E81</v>
          </cell>
        </row>
        <row r="276">
          <cell r="C276" t="str">
            <v>350218700103124</v>
          </cell>
          <cell r="D276" t="str">
            <v>RZY6F95</v>
          </cell>
        </row>
        <row r="277">
          <cell r="C277" t="str">
            <v>350218700127669</v>
          </cell>
          <cell r="D277" t="str">
            <v>RZY6J35</v>
          </cell>
        </row>
        <row r="278">
          <cell r="C278" t="str">
            <v>350218700192580</v>
          </cell>
          <cell r="D278" t="str">
            <v>SMP0E55</v>
          </cell>
        </row>
        <row r="279">
          <cell r="C279" t="str">
            <v>350218700192101</v>
          </cell>
          <cell r="D279" t="str">
            <v>SNQ1J42</v>
          </cell>
        </row>
        <row r="280">
          <cell r="C280" t="str">
            <v>350218700121373</v>
          </cell>
          <cell r="D280" t="str">
            <v>SOX7A75</v>
          </cell>
        </row>
        <row r="281">
          <cell r="C281" t="str">
            <v>350218700136926</v>
          </cell>
        </row>
        <row r="282">
          <cell r="C282" t="str">
            <v>350218700108396</v>
          </cell>
          <cell r="D282" t="str">
            <v>SOX6F76</v>
          </cell>
        </row>
        <row r="283">
          <cell r="C283" t="str">
            <v>350218700154754</v>
          </cell>
          <cell r="D283" t="str">
            <v>SMM9C61</v>
          </cell>
        </row>
        <row r="284">
          <cell r="C284" t="str">
            <v>350218700149200</v>
          </cell>
          <cell r="D284" t="str">
            <v>RZY5G54</v>
          </cell>
        </row>
        <row r="285">
          <cell r="C285" t="str">
            <v>350218700160975</v>
          </cell>
          <cell r="D285" t="str">
            <v>RZY1B65</v>
          </cell>
        </row>
        <row r="286">
          <cell r="C286" t="str">
            <v>350218700121374</v>
          </cell>
        </row>
        <row r="287">
          <cell r="C287" t="str">
            <v>350218700163656</v>
          </cell>
          <cell r="D287" t="str">
            <v>ROU7A91</v>
          </cell>
        </row>
        <row r="288">
          <cell r="C288" t="str">
            <v>350218700197423</v>
          </cell>
          <cell r="D288" t="str">
            <v>RZT9H80</v>
          </cell>
        </row>
        <row r="289">
          <cell r="C289" t="str">
            <v>350218700218385</v>
          </cell>
          <cell r="D289" t="str">
            <v>QYU4F37</v>
          </cell>
        </row>
        <row r="290">
          <cell r="C290" t="str">
            <v>350218700183282</v>
          </cell>
        </row>
        <row r="291">
          <cell r="C291" t="str">
            <v>350218700183811</v>
          </cell>
          <cell r="D291" t="str">
            <v>SNJ0D78</v>
          </cell>
        </row>
        <row r="292">
          <cell r="C292" t="str">
            <v>350218700179702</v>
          </cell>
          <cell r="D292" t="str">
            <v>SMM5B72</v>
          </cell>
        </row>
        <row r="293">
          <cell r="C293" t="str">
            <v>350218700151560</v>
          </cell>
          <cell r="D293" t="str">
            <v>RZY6G55</v>
          </cell>
        </row>
        <row r="294">
          <cell r="C294" t="str">
            <v>350218700107455</v>
          </cell>
          <cell r="D294" t="str">
            <v>RZY5E64</v>
          </cell>
        </row>
        <row r="295">
          <cell r="C295" t="str">
            <v>350218700226917</v>
          </cell>
          <cell r="D295" t="str">
            <v>SOX2C89</v>
          </cell>
        </row>
        <row r="296">
          <cell r="C296" t="str">
            <v>350218700196334</v>
          </cell>
          <cell r="D296" t="str">
            <v>ROY8G54</v>
          </cell>
        </row>
        <row r="297">
          <cell r="C297" t="str">
            <v>350218700110962</v>
          </cell>
          <cell r="D297" t="str">
            <v>SMM9C81</v>
          </cell>
        </row>
        <row r="298">
          <cell r="C298" t="str">
            <v>350218700146222</v>
          </cell>
          <cell r="D298" t="str">
            <v>RZQ9J70</v>
          </cell>
        </row>
        <row r="299">
          <cell r="C299" t="str">
            <v>350218700204146</v>
          </cell>
          <cell r="D299" t="str">
            <v>SYJ8C52</v>
          </cell>
        </row>
        <row r="300">
          <cell r="C300" t="str">
            <v>350218700120565</v>
          </cell>
          <cell r="D300" t="str">
            <v>SOX2E59</v>
          </cell>
        </row>
        <row r="301">
          <cell r="C301" t="str">
            <v>350218700157971</v>
          </cell>
          <cell r="D301" t="str">
            <v>RZY5D74</v>
          </cell>
        </row>
        <row r="302">
          <cell r="C302" t="str">
            <v>350218700155165</v>
          </cell>
          <cell r="D302" t="str">
            <v>TEY6B15</v>
          </cell>
        </row>
        <row r="303">
          <cell r="C303" t="str">
            <v>350218700165370</v>
          </cell>
          <cell r="D303" t="str">
            <v>SNT1G67</v>
          </cell>
        </row>
        <row r="304">
          <cell r="C304" t="str">
            <v>350218700149333</v>
          </cell>
        </row>
        <row r="305">
          <cell r="C305" t="str">
            <v>350218700147345</v>
          </cell>
          <cell r="D305" t="str">
            <v>TEY6B00</v>
          </cell>
        </row>
        <row r="306">
          <cell r="C306" t="str">
            <v>350218700175742</v>
          </cell>
          <cell r="D306" t="str">
            <v>RZY2D36</v>
          </cell>
        </row>
        <row r="307">
          <cell r="C307" t="str">
            <v>350218700148384</v>
          </cell>
          <cell r="D307" t="str">
            <v>SOY0B40</v>
          </cell>
        </row>
        <row r="308">
          <cell r="C308" t="str">
            <v>350218700152352</v>
          </cell>
          <cell r="D308" t="str">
            <v>ROT6C63</v>
          </cell>
        </row>
        <row r="309">
          <cell r="C309" t="str">
            <v>350218700162450</v>
          </cell>
          <cell r="D309" t="str">
            <v>QYC8875</v>
          </cell>
        </row>
        <row r="310">
          <cell r="C310" t="str">
            <v>350218700146511</v>
          </cell>
          <cell r="D310" t="str">
            <v>RZQ1B54</v>
          </cell>
        </row>
        <row r="311">
          <cell r="C311" t="str">
            <v>350218700162351</v>
          </cell>
          <cell r="D311" t="str">
            <v>ROU6H44</v>
          </cell>
        </row>
        <row r="312">
          <cell r="C312" t="str">
            <v>350218700210911</v>
          </cell>
          <cell r="D312" t="str">
            <v>RZY0G85</v>
          </cell>
        </row>
        <row r="313">
          <cell r="C313" t="str">
            <v>350218700204310</v>
          </cell>
          <cell r="D313" t="str">
            <v>RZY6F55</v>
          </cell>
        </row>
        <row r="314">
          <cell r="C314" t="str">
            <v>350218700195369</v>
          </cell>
          <cell r="D314" t="str">
            <v>SMP0E63</v>
          </cell>
        </row>
        <row r="315">
          <cell r="C315" t="str">
            <v>350218700201290</v>
          </cell>
          <cell r="D315" t="str">
            <v>SOX8F96</v>
          </cell>
        </row>
        <row r="316">
          <cell r="C316" t="str">
            <v>350218700171303</v>
          </cell>
          <cell r="D316" t="str">
            <v>SMP0E77</v>
          </cell>
        </row>
        <row r="317">
          <cell r="C317" t="str">
            <v>350218700175684</v>
          </cell>
          <cell r="D317" t="str">
            <v>RZY2B66</v>
          </cell>
        </row>
        <row r="318">
          <cell r="C318" t="str">
            <v>350218700223211</v>
          </cell>
          <cell r="D318" t="str">
            <v>QYP4C78</v>
          </cell>
        </row>
        <row r="319">
          <cell r="C319" t="str">
            <v>350218700170958</v>
          </cell>
          <cell r="D319" t="str">
            <v>SMP0E84</v>
          </cell>
        </row>
        <row r="320">
          <cell r="C320" t="str">
            <v>350218700167996</v>
          </cell>
          <cell r="D320" t="str">
            <v>RZY1A05</v>
          </cell>
        </row>
        <row r="321">
          <cell r="C321" t="str">
            <v>350218700175809</v>
          </cell>
          <cell r="D321" t="str">
            <v>RZY6I95</v>
          </cell>
        </row>
        <row r="322">
          <cell r="C322" t="str">
            <v>350218700152048</v>
          </cell>
          <cell r="D322" t="str">
            <v>SNJ9F39</v>
          </cell>
        </row>
        <row r="323">
          <cell r="C323" t="str">
            <v>350218700192440</v>
          </cell>
          <cell r="D323" t="str">
            <v>RZY0J55</v>
          </cell>
        </row>
        <row r="324">
          <cell r="C324" t="str">
            <v>350218700223591</v>
          </cell>
          <cell r="D324" t="str">
            <v>TEY6B30</v>
          </cell>
        </row>
        <row r="325">
          <cell r="C325" t="str">
            <v>350218700192051</v>
          </cell>
          <cell r="D325" t="str">
            <v>TEY6B19</v>
          </cell>
        </row>
        <row r="326">
          <cell r="C326" t="str">
            <v>350218700217882</v>
          </cell>
          <cell r="D326" t="str">
            <v>SMP0E59</v>
          </cell>
        </row>
        <row r="327">
          <cell r="C327" t="str">
            <v>350218700190725</v>
          </cell>
          <cell r="D327" t="str">
            <v>SMP0E82</v>
          </cell>
        </row>
        <row r="328">
          <cell r="C328" t="str">
            <v>350218700179876</v>
          </cell>
          <cell r="D328" t="str">
            <v>SNU7G30</v>
          </cell>
        </row>
        <row r="329">
          <cell r="C329" t="str">
            <v>350218700186350</v>
          </cell>
          <cell r="D329" t="str">
            <v>TEY6B06</v>
          </cell>
        </row>
        <row r="330">
          <cell r="C330" t="str">
            <v>350218700191988</v>
          </cell>
          <cell r="D330" t="str">
            <v>SNJ9F60</v>
          </cell>
        </row>
        <row r="331">
          <cell r="C331" t="str">
            <v>350218700195195</v>
          </cell>
          <cell r="D331" t="str">
            <v>TEY6B13</v>
          </cell>
        </row>
        <row r="332">
          <cell r="C332" t="str">
            <v>350218700175791</v>
          </cell>
          <cell r="D332" t="str">
            <v>TEY6B28</v>
          </cell>
        </row>
        <row r="333">
          <cell r="C333" t="str">
            <v>350218700150042</v>
          </cell>
          <cell r="D333" t="str">
            <v>SOY0E10</v>
          </cell>
        </row>
        <row r="334">
          <cell r="C334" t="str">
            <v>350218700117140</v>
          </cell>
          <cell r="D334" t="str">
            <v>POK8G72</v>
          </cell>
        </row>
        <row r="335">
          <cell r="C335" t="str">
            <v>350218700219201</v>
          </cell>
          <cell r="D335" t="str">
            <v>SOX2D89</v>
          </cell>
        </row>
        <row r="336">
          <cell r="C336" t="str">
            <v>350218700202553</v>
          </cell>
          <cell r="D336" t="str">
            <v>SOX8D05</v>
          </cell>
        </row>
        <row r="337">
          <cell r="C337" t="str">
            <v>350218700107745</v>
          </cell>
          <cell r="D337" t="str">
            <v>QYF8512</v>
          </cell>
        </row>
        <row r="338">
          <cell r="C338" t="str">
            <v>350218700141983</v>
          </cell>
          <cell r="D338" t="str">
            <v>SOX8B35</v>
          </cell>
        </row>
        <row r="339">
          <cell r="C339" t="str">
            <v>350218700162864</v>
          </cell>
          <cell r="D339" t="str">
            <v>QYP1B79</v>
          </cell>
        </row>
        <row r="340">
          <cell r="C340" t="str">
            <v>350218700110145</v>
          </cell>
          <cell r="D340" t="str">
            <v>SNT3I80</v>
          </cell>
        </row>
        <row r="341">
          <cell r="C341" t="str">
            <v>350218700165347</v>
          </cell>
          <cell r="D341" t="str">
            <v>QYP1C59</v>
          </cell>
        </row>
        <row r="342">
          <cell r="C342" t="str">
            <v>350218700164076</v>
          </cell>
          <cell r="D342" t="str">
            <v>SMP0E83</v>
          </cell>
        </row>
        <row r="343">
          <cell r="C343" t="str">
            <v>350218700147006</v>
          </cell>
          <cell r="D343" t="str">
            <v>ROU6D57</v>
          </cell>
        </row>
        <row r="344">
          <cell r="C344" t="str">
            <v>350218700175627</v>
          </cell>
          <cell r="D344" t="str">
            <v>SMM5B76</v>
          </cell>
        </row>
        <row r="345">
          <cell r="C345" t="str">
            <v>350218700220928</v>
          </cell>
          <cell r="D345" t="str">
            <v>RZY2G76</v>
          </cell>
        </row>
        <row r="346">
          <cell r="C346" t="str">
            <v>350218700165016</v>
          </cell>
          <cell r="D346" t="str">
            <v>SMM5B78</v>
          </cell>
        </row>
        <row r="347">
          <cell r="C347" t="str">
            <v>350218700178605</v>
          </cell>
          <cell r="D347" t="str">
            <v>SOY0D20</v>
          </cell>
        </row>
        <row r="348">
          <cell r="C348" t="str">
            <v>350218700192366</v>
          </cell>
          <cell r="D348" t="str">
            <v>TEY6B34</v>
          </cell>
        </row>
        <row r="349">
          <cell r="C349" t="str">
            <v>350218700101151</v>
          </cell>
          <cell r="D349" t="str">
            <v>SOX6G46</v>
          </cell>
        </row>
        <row r="350">
          <cell r="C350" t="str">
            <v>350218700164472</v>
          </cell>
          <cell r="D350" t="str">
            <v>RZM9F31</v>
          </cell>
        </row>
        <row r="351">
          <cell r="C351" t="str">
            <v>350218700192523</v>
          </cell>
          <cell r="D351" t="str">
            <v>TEY6B02</v>
          </cell>
        </row>
        <row r="352">
          <cell r="C352" t="str">
            <v>350218700185386</v>
          </cell>
          <cell r="D352" t="str">
            <v>SOY0D90</v>
          </cell>
        </row>
        <row r="353">
          <cell r="C353" t="str">
            <v>350218700105749</v>
          </cell>
          <cell r="D353" t="str">
            <v>SOX8G96</v>
          </cell>
        </row>
        <row r="354">
          <cell r="C354" t="str">
            <v>350218700203981</v>
          </cell>
          <cell r="D354" t="str">
            <v>RZM1B02</v>
          </cell>
        </row>
        <row r="355">
          <cell r="C355" t="str">
            <v>350218700191087</v>
          </cell>
          <cell r="D355" t="str">
            <v>SMM9F06</v>
          </cell>
        </row>
        <row r="356">
          <cell r="C356" t="str">
            <v>350218700165610</v>
          </cell>
          <cell r="D356" t="str">
            <v>QYG2G63</v>
          </cell>
        </row>
        <row r="357">
          <cell r="C357" t="str">
            <v>350218700106069</v>
          </cell>
          <cell r="D357" t="str">
            <v>SMM5B75</v>
          </cell>
        </row>
        <row r="358">
          <cell r="C358" t="str">
            <v>350218700150679</v>
          </cell>
          <cell r="D358" t="str">
            <v>SMM7E97</v>
          </cell>
        </row>
        <row r="359">
          <cell r="C359" t="str">
            <v>350218700145117</v>
          </cell>
          <cell r="D359" t="str">
            <v>TEY6B09</v>
          </cell>
        </row>
        <row r="360">
          <cell r="C360" t="str">
            <v>350218700195492</v>
          </cell>
          <cell r="D360" t="str">
            <v>SMM9C64</v>
          </cell>
        </row>
        <row r="361">
          <cell r="C361" t="str">
            <v>350218700193323</v>
          </cell>
          <cell r="D361" t="str">
            <v>SNW5C43</v>
          </cell>
        </row>
        <row r="362">
          <cell r="C362" t="str">
            <v>350218700105525</v>
          </cell>
          <cell r="D362" t="str">
            <v>SMM9C85</v>
          </cell>
        </row>
        <row r="363">
          <cell r="C363" t="str">
            <v>350218700164621</v>
          </cell>
          <cell r="D363" t="str">
            <v>TEY6B12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usto por KM-H"/>
      <sheetName val=" Veic. Equipamentos - JUL DEZ"/>
      <sheetName val="Planilha2"/>
      <sheetName val="Planilha1"/>
      <sheetName val="FINAL"/>
      <sheetName val="Final 2"/>
      <sheetName val=" Veic. Equipamentos - JAN JUN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 xml:space="preserve">PLACA </v>
          </cell>
          <cell r="G1" t="str">
            <v>RESPONSÁVEL NOVO</v>
          </cell>
          <cell r="S1" t="str">
            <v>SERVIÇO NOVO</v>
          </cell>
        </row>
        <row r="2">
          <cell r="A2" t="str">
            <v>SYJ8C52</v>
          </cell>
          <cell r="G2" t="str">
            <v>DEILTON RIBEIRO</v>
          </cell>
          <cell r="S2" t="str">
            <v>Ligação Nova Multi 4x4</v>
          </cell>
        </row>
        <row r="3">
          <cell r="A3" t="str">
            <v>SYJ8C31</v>
          </cell>
          <cell r="G3" t="str">
            <v>DEILTON RIBEIRO</v>
          </cell>
          <cell r="S3" t="str">
            <v>Ligação Nova Multi 4x4</v>
          </cell>
        </row>
        <row r="4">
          <cell r="A4" t="str">
            <v>SNW5E33</v>
          </cell>
          <cell r="G4" t="str">
            <v>MARCELO SOARES</v>
          </cell>
          <cell r="S4" t="str">
            <v>Ligação Nova Multi Leve</v>
          </cell>
        </row>
        <row r="5">
          <cell r="A5" t="str">
            <v>SNW5D73</v>
          </cell>
          <cell r="G5" t="str">
            <v xml:space="preserve">ARLISSON ROGERIO </v>
          </cell>
          <cell r="S5" t="str">
            <v>Corte e Religação Leve</v>
          </cell>
        </row>
        <row r="6">
          <cell r="A6" t="str">
            <v>SNW5D03</v>
          </cell>
          <cell r="G6" t="str">
            <v>RESERVA</v>
          </cell>
          <cell r="S6" t="str">
            <v>Corte e Religação (Seed Money)</v>
          </cell>
        </row>
        <row r="7">
          <cell r="A7" t="str">
            <v>SNW5C43</v>
          </cell>
          <cell r="G7" t="str">
            <v>LUIS FILIPE</v>
          </cell>
          <cell r="S7" t="str">
            <v>Pedreiro</v>
          </cell>
        </row>
        <row r="8">
          <cell r="A8" t="str">
            <v>SNW5B43</v>
          </cell>
          <cell r="G8" t="str">
            <v>DEILTON RIBEIRO</v>
          </cell>
          <cell r="S8" t="str">
            <v>Corte e Religação Leve</v>
          </cell>
        </row>
        <row r="9">
          <cell r="A9" t="str">
            <v>SNU7G30</v>
          </cell>
          <cell r="G9" t="str">
            <v xml:space="preserve">EDSON </v>
          </cell>
          <cell r="S9" t="str">
            <v>Equipe de Inspecao (Picape Leve)</v>
          </cell>
        </row>
        <row r="10">
          <cell r="A10" t="str">
            <v>SNT3J70</v>
          </cell>
          <cell r="G10" t="str">
            <v>LUIS FILIPE</v>
          </cell>
          <cell r="S10" t="str">
            <v>Equipe de Inspecao (Picape Leve)</v>
          </cell>
        </row>
        <row r="11">
          <cell r="A11" t="str">
            <v>SNT3I80</v>
          </cell>
          <cell r="G11" t="str">
            <v>LUIS FILIPE</v>
          </cell>
          <cell r="S11" t="str">
            <v>Equipe de Inspecao (Picape Leve)</v>
          </cell>
        </row>
        <row r="12">
          <cell r="A12" t="str">
            <v>SNT3G70</v>
          </cell>
          <cell r="G12" t="str">
            <v>ACLESSIO</v>
          </cell>
          <cell r="S12" t="str">
            <v>Administrativo</v>
          </cell>
        </row>
        <row r="13">
          <cell r="A13" t="str">
            <v>SNT3F70</v>
          </cell>
          <cell r="G13" t="str">
            <v xml:space="preserve">ARLISSON ROGERIO </v>
          </cell>
          <cell r="S13" t="str">
            <v>Corte e Religação Leve</v>
          </cell>
        </row>
        <row r="14">
          <cell r="A14" t="str">
            <v>SNT3D60</v>
          </cell>
          <cell r="G14" t="str">
            <v>LUIS FILIPE</v>
          </cell>
          <cell r="S14" t="str">
            <v>Equipe de Inspecao (Picape Leve)</v>
          </cell>
        </row>
        <row r="15">
          <cell r="A15" t="str">
            <v>SNT1G67</v>
          </cell>
          <cell r="G15" t="str">
            <v>EDIVAN DE LIMA</v>
          </cell>
          <cell r="S15" t="str">
            <v>Apoio a obras</v>
          </cell>
        </row>
        <row r="16">
          <cell r="A16" t="str">
            <v>SNS7H19</v>
          </cell>
          <cell r="G16" t="str">
            <v>ANDERSON</v>
          </cell>
          <cell r="S16" t="str">
            <v>Apoio a Obras</v>
          </cell>
        </row>
        <row r="17">
          <cell r="A17" t="str">
            <v>SNS7G59</v>
          </cell>
          <cell r="G17" t="str">
            <v>LUIS FILIPE</v>
          </cell>
          <cell r="S17" t="str">
            <v>Equipe de Inspecao (Picape Leve)</v>
          </cell>
        </row>
        <row r="18">
          <cell r="A18" t="str">
            <v>SNS7G49</v>
          </cell>
          <cell r="G18" t="str">
            <v>LUIS FILIPE</v>
          </cell>
          <cell r="S18" t="str">
            <v>Equipe de Inspecao (Picape Leve)</v>
          </cell>
        </row>
        <row r="19">
          <cell r="A19" t="str">
            <v>SNS7F89</v>
          </cell>
          <cell r="G19" t="str">
            <v>LUIS FILIPE</v>
          </cell>
          <cell r="S19" t="str">
            <v>Equipe de Inspecao (Picape Leve)</v>
          </cell>
        </row>
        <row r="20">
          <cell r="A20" t="str">
            <v>SNS7F49</v>
          </cell>
          <cell r="G20" t="str">
            <v>LUIS FILIPE</v>
          </cell>
          <cell r="S20" t="str">
            <v>Equipe de Inspecao (Picape Leve)</v>
          </cell>
        </row>
        <row r="21">
          <cell r="A21" t="str">
            <v>SNS7E49</v>
          </cell>
          <cell r="G21" t="str">
            <v>LUIS FILIPE</v>
          </cell>
          <cell r="S21" t="str">
            <v>Equipe de Inspecao (Picape Leve)</v>
          </cell>
        </row>
        <row r="22">
          <cell r="A22" t="str">
            <v>SNS7D69</v>
          </cell>
          <cell r="G22" t="str">
            <v>LUIS FILIPE</v>
          </cell>
          <cell r="S22" t="str">
            <v>Equipe de Inspecao (Picape Leve)</v>
          </cell>
        </row>
        <row r="23">
          <cell r="A23" t="str">
            <v>SNS7C99</v>
          </cell>
          <cell r="G23" t="str">
            <v>LUIS FILIPE</v>
          </cell>
          <cell r="S23" t="str">
            <v>Equipe de Inspecao (Picape Leve)</v>
          </cell>
        </row>
        <row r="24">
          <cell r="A24" t="str">
            <v>SNS7C09</v>
          </cell>
          <cell r="G24" t="str">
            <v>LUIS FILIPE</v>
          </cell>
          <cell r="S24" t="str">
            <v>Equipe de Inspecao (Picape Leve)</v>
          </cell>
        </row>
        <row r="25">
          <cell r="A25" t="str">
            <v>SNS6E39</v>
          </cell>
          <cell r="G25" t="str">
            <v>LUIS FILIPE</v>
          </cell>
          <cell r="S25" t="str">
            <v>Administrativo</v>
          </cell>
        </row>
        <row r="26">
          <cell r="A26" t="str">
            <v>SNS4C48</v>
          </cell>
          <cell r="G26" t="str">
            <v>LUIS FILIPE</v>
          </cell>
          <cell r="S26" t="str">
            <v>Prospector (Leve)</v>
          </cell>
        </row>
        <row r="27">
          <cell r="A27" t="str">
            <v>SNS4B18</v>
          </cell>
          <cell r="G27" t="str">
            <v>LUIS FILIPE</v>
          </cell>
          <cell r="S27" t="str">
            <v>Equipe de Inspecao (Picape Leve)</v>
          </cell>
        </row>
        <row r="28">
          <cell r="A28" t="str">
            <v>SNS4A88</v>
          </cell>
          <cell r="G28" t="str">
            <v>LUIS FILIPE</v>
          </cell>
          <cell r="S28" t="str">
            <v>Administrativo</v>
          </cell>
        </row>
        <row r="29">
          <cell r="A29" t="str">
            <v>SNS4A08</v>
          </cell>
          <cell r="G29" t="str">
            <v>LUIS FILIPE</v>
          </cell>
          <cell r="S29" t="str">
            <v>Pedreiro</v>
          </cell>
        </row>
        <row r="30">
          <cell r="A30" t="str">
            <v>SNS1B59</v>
          </cell>
          <cell r="G30" t="str">
            <v>LUIS FILIPE</v>
          </cell>
          <cell r="S30" t="str">
            <v>Equipe de Inspecao (Picape Leve)</v>
          </cell>
        </row>
        <row r="31">
          <cell r="A31" t="str">
            <v>SNA7I34</v>
          </cell>
          <cell r="G31" t="str">
            <v>LUIS FILIPE</v>
          </cell>
          <cell r="S31" t="str">
            <v>Equipe de Inspecao (Picape Leve)</v>
          </cell>
        </row>
        <row r="32">
          <cell r="A32" t="str">
            <v>SNA7I66</v>
          </cell>
          <cell r="G32" t="str">
            <v>LUIS FILIPE</v>
          </cell>
          <cell r="S32" t="str">
            <v>Equipe de Inspecao (Picape Leve)</v>
          </cell>
        </row>
        <row r="33">
          <cell r="A33" t="str">
            <v>SNA7I55</v>
          </cell>
          <cell r="G33" t="str">
            <v>LUIS FILIPE</v>
          </cell>
          <cell r="S33" t="str">
            <v>Equipe de Inspecao (Picape Leve)</v>
          </cell>
        </row>
        <row r="34">
          <cell r="A34" t="str">
            <v>SNA7I51</v>
          </cell>
          <cell r="G34" t="str">
            <v>LUIS FILIPE</v>
          </cell>
          <cell r="S34" t="str">
            <v>Equipe de Inspecao (Picape Leve)</v>
          </cell>
        </row>
        <row r="35">
          <cell r="A35" t="str">
            <v>SNA7I69</v>
          </cell>
          <cell r="G35" t="str">
            <v>LUIS FILIPE</v>
          </cell>
          <cell r="S35" t="str">
            <v>Equipe de Inspecao (Picape Leve)</v>
          </cell>
        </row>
        <row r="36">
          <cell r="A36" t="str">
            <v>SNA7I61</v>
          </cell>
          <cell r="G36" t="str">
            <v>LUIS FILIPE</v>
          </cell>
          <cell r="S36" t="str">
            <v>Equipe de Inspecao (Picape Leve)</v>
          </cell>
        </row>
        <row r="37">
          <cell r="A37" t="str">
            <v>SNA7I44</v>
          </cell>
          <cell r="G37" t="str">
            <v>LUIS FILIPE</v>
          </cell>
          <cell r="S37" t="str">
            <v>Equipe de Inspecao (Picape Leve)</v>
          </cell>
        </row>
        <row r="38">
          <cell r="A38" t="str">
            <v>SNA7I31</v>
          </cell>
          <cell r="G38" t="str">
            <v>LUIS FILIPE</v>
          </cell>
          <cell r="S38" t="str">
            <v>Equipe de Inspecao (Picape Leve)</v>
          </cell>
        </row>
        <row r="39">
          <cell r="A39" t="str">
            <v>SNA7I39</v>
          </cell>
          <cell r="G39" t="str">
            <v>LUIS FILIPE</v>
          </cell>
          <cell r="S39" t="str">
            <v>Equipe de Inspecao (Picape Leve)</v>
          </cell>
        </row>
        <row r="40">
          <cell r="A40" t="str">
            <v>SNS1A79</v>
          </cell>
          <cell r="G40" t="str">
            <v>SANTANA DE LIMA</v>
          </cell>
          <cell r="S40" t="str">
            <v>Administrativo</v>
          </cell>
        </row>
        <row r="41">
          <cell r="A41" t="str">
            <v>SNR3C87</v>
          </cell>
          <cell r="G41" t="str">
            <v>MATEUS ANTÔNIO</v>
          </cell>
          <cell r="S41" t="str">
            <v>Apoio a obras</v>
          </cell>
        </row>
        <row r="42">
          <cell r="A42" t="str">
            <v>SNR2D87</v>
          </cell>
          <cell r="G42" t="str">
            <v>MANOEL FERREIRA DE MACEDO</v>
          </cell>
          <cell r="S42" t="str">
            <v>Administrativo</v>
          </cell>
        </row>
        <row r="43">
          <cell r="A43" t="str">
            <v>SNO4F70</v>
          </cell>
          <cell r="G43" t="str">
            <v>MARCOS ALENCAR</v>
          </cell>
          <cell r="S43" t="str">
            <v>Ligação Nova Multi 4x4</v>
          </cell>
        </row>
        <row r="44">
          <cell r="A44" t="str">
            <v>SNM6D11</v>
          </cell>
          <cell r="G44" t="str">
            <v>JACKSON SOUZA</v>
          </cell>
          <cell r="S44" t="str">
            <v>Transporte de materiais para bases e obras</v>
          </cell>
        </row>
        <row r="45">
          <cell r="A45" t="str">
            <v>SNJ9F60</v>
          </cell>
          <cell r="G45" t="str">
            <v>THIAGO FERNANDES</v>
          </cell>
          <cell r="S45" t="str">
            <v>Administrativo</v>
          </cell>
        </row>
        <row r="46">
          <cell r="A46" t="str">
            <v>SNJ9F58</v>
          </cell>
          <cell r="G46" t="str">
            <v xml:space="preserve">DEILTON RIBEIRO </v>
          </cell>
          <cell r="S46" t="str">
            <v>Administrativo</v>
          </cell>
        </row>
        <row r="47">
          <cell r="A47" t="str">
            <v>SNJ9F49</v>
          </cell>
          <cell r="G47" t="str">
            <v>CONTRATANDO</v>
          </cell>
          <cell r="S47" t="str">
            <v>Administrativo</v>
          </cell>
        </row>
        <row r="48">
          <cell r="A48" t="str">
            <v>SNJ9F39</v>
          </cell>
          <cell r="G48" t="str">
            <v>LEONARDO ESTRELA</v>
          </cell>
          <cell r="S48" t="str">
            <v>Administrativo</v>
          </cell>
        </row>
        <row r="49">
          <cell r="A49" t="str">
            <v>SNJ9F34</v>
          </cell>
          <cell r="G49" t="str">
            <v>ANTONIO SILVA DE ABREU</v>
          </cell>
          <cell r="S49" t="str">
            <v>Administrativo</v>
          </cell>
        </row>
        <row r="50">
          <cell r="A50" t="str">
            <v>SNJ4E15</v>
          </cell>
          <cell r="G50" t="str">
            <v xml:space="preserve">WALLYSON DA SILVA ALMEIDA </v>
          </cell>
          <cell r="S50" t="str">
            <v>Levantador</v>
          </cell>
        </row>
        <row r="51">
          <cell r="A51" t="str">
            <v>SNJ0G01</v>
          </cell>
          <cell r="G51" t="str">
            <v xml:space="preserve">JOADSON CARLOS DA SILVA FERREIRA </v>
          </cell>
          <cell r="S51" t="str">
            <v>Levantador</v>
          </cell>
        </row>
        <row r="52">
          <cell r="A52" t="str">
            <v>SNJ0D78</v>
          </cell>
          <cell r="G52" t="str">
            <v>JOSIEL MENESES</v>
          </cell>
          <cell r="S52" t="str">
            <v>Levantador</v>
          </cell>
        </row>
        <row r="53">
          <cell r="A53" t="str">
            <v>SMP6C73</v>
          </cell>
          <cell r="G53" t="str">
            <v xml:space="preserve">ARLISSON ROGERIO </v>
          </cell>
          <cell r="S53" t="str">
            <v>Plantão Leve 8 Horas Trio Carro 4X4</v>
          </cell>
        </row>
        <row r="54">
          <cell r="A54" t="str">
            <v>SMP6C71</v>
          </cell>
          <cell r="G54" t="str">
            <v>LUIS FILIPE</v>
          </cell>
          <cell r="S54" t="str">
            <v>Equipe de Inspecao 4x4</v>
          </cell>
        </row>
        <row r="55">
          <cell r="A55" t="str">
            <v>SMP6C70</v>
          </cell>
          <cell r="G55" t="str">
            <v>PAULO FERREIRA</v>
          </cell>
          <cell r="S55" t="str">
            <v>Plantão 16 Horas 4x4</v>
          </cell>
        </row>
        <row r="56">
          <cell r="A56" t="str">
            <v>SMP6C66</v>
          </cell>
          <cell r="G56" t="str">
            <v xml:space="preserve">WASHIGTON </v>
          </cell>
          <cell r="S56" t="str">
            <v>Plantão Leve 8 Horas Trio Carro 4X4</v>
          </cell>
        </row>
        <row r="57">
          <cell r="A57" t="str">
            <v>SMP6C64</v>
          </cell>
          <cell r="G57" t="str">
            <v>MARCOS ALENCAR</v>
          </cell>
          <cell r="S57" t="str">
            <v>Plantão Leve 8 Horas Trio Carro 4X4</v>
          </cell>
        </row>
        <row r="58">
          <cell r="A58" t="str">
            <v>SMP6C60</v>
          </cell>
          <cell r="G58" t="str">
            <v>MARCOS ALENCAR</v>
          </cell>
          <cell r="S58" t="str">
            <v>Plantão 16 Horas 4x4</v>
          </cell>
        </row>
        <row r="59">
          <cell r="A59" t="str">
            <v>SMP6C55</v>
          </cell>
          <cell r="G59" t="str">
            <v xml:space="preserve">LUIS AUGUSTO </v>
          </cell>
          <cell r="S59" t="str">
            <v>Plantão Leve 8 Horas Trio Carro 4X4</v>
          </cell>
        </row>
        <row r="60">
          <cell r="A60" t="str">
            <v>SMP0E84</v>
          </cell>
          <cell r="G60" t="str">
            <v>PAULO FERREIRA</v>
          </cell>
          <cell r="S60" t="str">
            <v>Administrativo</v>
          </cell>
        </row>
        <row r="61">
          <cell r="A61" t="str">
            <v>SMP0E83</v>
          </cell>
          <cell r="G61" t="str">
            <v>EVERTON SIQUEIRA</v>
          </cell>
          <cell r="S61" t="str">
            <v>Administrativo</v>
          </cell>
        </row>
        <row r="62">
          <cell r="A62" t="str">
            <v>SMP0E82</v>
          </cell>
          <cell r="G62" t="str">
            <v>DANIEL</v>
          </cell>
          <cell r="S62" t="str">
            <v>Administrativo</v>
          </cell>
        </row>
        <row r="63">
          <cell r="A63" t="str">
            <v>SMP0E81</v>
          </cell>
          <cell r="G63" t="str">
            <v>JOSIELINGTON PAZ DE OLIVEIRA</v>
          </cell>
          <cell r="S63" t="str">
            <v>Administrativo</v>
          </cell>
        </row>
        <row r="64">
          <cell r="A64" t="str">
            <v>SMP0E79</v>
          </cell>
          <cell r="G64" t="str">
            <v>MARCOS ALENCAR</v>
          </cell>
          <cell r="S64" t="str">
            <v>Administrativo</v>
          </cell>
        </row>
        <row r="65">
          <cell r="A65" t="str">
            <v>SMP0E78</v>
          </cell>
          <cell r="G65" t="str">
            <v>MESSIAS ABREU</v>
          </cell>
          <cell r="S65" t="str">
            <v>Administrativo</v>
          </cell>
        </row>
        <row r="66">
          <cell r="A66" t="str">
            <v>SMP0E77</v>
          </cell>
          <cell r="G66" t="str">
            <v>PABLO LOURA</v>
          </cell>
          <cell r="S66" t="str">
            <v>Administrativo</v>
          </cell>
        </row>
        <row r="67">
          <cell r="A67" t="str">
            <v>SMP0E76</v>
          </cell>
          <cell r="G67" t="str">
            <v>ANTÔNIO VALTER</v>
          </cell>
          <cell r="S67" t="str">
            <v>Apoio a obras</v>
          </cell>
        </row>
        <row r="68">
          <cell r="A68" t="str">
            <v>SMP0E75</v>
          </cell>
          <cell r="G68" t="str">
            <v>WERBETH RODRIGUES</v>
          </cell>
          <cell r="S68" t="str">
            <v>Administrativo</v>
          </cell>
        </row>
        <row r="69">
          <cell r="A69" t="str">
            <v>SMP0E74</v>
          </cell>
          <cell r="G69" t="str">
            <v>LUCAS SOUZA</v>
          </cell>
          <cell r="S69" t="str">
            <v>Administrativo</v>
          </cell>
        </row>
        <row r="70">
          <cell r="A70" t="str">
            <v>SMP0E73</v>
          </cell>
          <cell r="G70" t="str">
            <v>STINGRAY DE  ORFAO</v>
          </cell>
          <cell r="S70" t="str">
            <v>Administrativo</v>
          </cell>
        </row>
        <row r="71">
          <cell r="A71" t="str">
            <v>SMP0E72</v>
          </cell>
          <cell r="G71" t="str">
            <v>JACKSON SOUZA</v>
          </cell>
          <cell r="S71" t="str">
            <v>Administrativo</v>
          </cell>
        </row>
        <row r="72">
          <cell r="A72" t="str">
            <v>SMP0E71</v>
          </cell>
          <cell r="G72" t="str">
            <v>JOSIEL MENESES</v>
          </cell>
          <cell r="S72" t="str">
            <v>Administrativo</v>
          </cell>
        </row>
        <row r="73">
          <cell r="A73" t="str">
            <v>SMP0E70</v>
          </cell>
          <cell r="G73" t="str">
            <v>IGOR DIONÍSIO</v>
          </cell>
          <cell r="S73" t="str">
            <v>Administrativo</v>
          </cell>
        </row>
        <row r="74">
          <cell r="A74" t="str">
            <v>SMP0E69</v>
          </cell>
          <cell r="G74" t="str">
            <v>ANTONIO MARCOS SALAZAR DOS REIS</v>
          </cell>
          <cell r="S74" t="str">
            <v>Administrativo</v>
          </cell>
        </row>
        <row r="75">
          <cell r="A75" t="str">
            <v>SMP0E68</v>
          </cell>
          <cell r="G75" t="str">
            <v>RUAN VALMIR</v>
          </cell>
          <cell r="S75" t="str">
            <v>Administrativo</v>
          </cell>
        </row>
        <row r="76">
          <cell r="A76" t="str">
            <v>SMP0E67</v>
          </cell>
          <cell r="G76" t="str">
            <v xml:space="preserve">FRANCISCO JOSE GUERREIRO </v>
          </cell>
          <cell r="S76" t="str">
            <v>Administrativo</v>
          </cell>
        </row>
        <row r="77">
          <cell r="A77" t="str">
            <v>SMP0E66</v>
          </cell>
          <cell r="G77" t="str">
            <v>MANUEL NETO</v>
          </cell>
          <cell r="S77" t="str">
            <v>Administrativo</v>
          </cell>
        </row>
        <row r="78">
          <cell r="A78" t="str">
            <v>SMP0E65</v>
          </cell>
          <cell r="G78" t="str">
            <v>EVERALDO NOGUEIRA</v>
          </cell>
          <cell r="S78" t="str">
            <v>Administrativo</v>
          </cell>
        </row>
        <row r="79">
          <cell r="A79" t="str">
            <v>SMP0E64</v>
          </cell>
          <cell r="G79" t="str">
            <v>JOÃO FELIPE</v>
          </cell>
          <cell r="S79" t="str">
            <v>Administrativo</v>
          </cell>
        </row>
        <row r="80">
          <cell r="A80" t="str">
            <v>SMP0E63</v>
          </cell>
          <cell r="G80" t="str">
            <v>PRYSCILLA CRISTYANE</v>
          </cell>
          <cell r="S80" t="str">
            <v>Administrativo</v>
          </cell>
        </row>
        <row r="81">
          <cell r="A81" t="str">
            <v>SMP0E62</v>
          </cell>
          <cell r="G81" t="str">
            <v xml:space="preserve">ARLISSON ROGERIO </v>
          </cell>
          <cell r="S81" t="str">
            <v>Administrativo</v>
          </cell>
        </row>
        <row r="82">
          <cell r="A82" t="str">
            <v>SMP0E61</v>
          </cell>
          <cell r="G82">
            <v>0</v>
          </cell>
          <cell r="S82" t="str">
            <v>Administrativo</v>
          </cell>
        </row>
        <row r="83">
          <cell r="A83" t="str">
            <v>SMP0E60</v>
          </cell>
          <cell r="G83" t="str">
            <v>LEIZIANE CARVALHO</v>
          </cell>
          <cell r="S83" t="str">
            <v>Administrativo</v>
          </cell>
        </row>
        <row r="84">
          <cell r="A84" t="str">
            <v>SMP0E59</v>
          </cell>
          <cell r="G84" t="str">
            <v>MARCOS ANDRADE</v>
          </cell>
          <cell r="S84" t="str">
            <v>Administrativo</v>
          </cell>
        </row>
        <row r="85">
          <cell r="A85" t="str">
            <v>SMP0E58</v>
          </cell>
          <cell r="G85" t="str">
            <v>JAMERSON MIRANDA</v>
          </cell>
          <cell r="S85" t="str">
            <v>Administrativo</v>
          </cell>
        </row>
        <row r="86">
          <cell r="A86" t="str">
            <v>SMP0E57</v>
          </cell>
          <cell r="G86" t="str">
            <v>NORMÃ</v>
          </cell>
          <cell r="S86" t="str">
            <v>Administrativo</v>
          </cell>
        </row>
        <row r="87">
          <cell r="A87" t="str">
            <v>SMP0E56</v>
          </cell>
          <cell r="G87" t="str">
            <v>PAULO ALEX</v>
          </cell>
          <cell r="S87" t="str">
            <v>Administrativo</v>
          </cell>
        </row>
        <row r="88">
          <cell r="A88" t="str">
            <v>SMP0E55</v>
          </cell>
          <cell r="G88" t="str">
            <v>RAIMUNDO ALMEIDA</v>
          </cell>
          <cell r="S88" t="str">
            <v>Administrativo</v>
          </cell>
        </row>
        <row r="89">
          <cell r="A89" t="str">
            <v>SMP0E54</v>
          </cell>
          <cell r="G89" t="str">
            <v>RICARDO MALTA</v>
          </cell>
          <cell r="S89" t="str">
            <v>Administrativo</v>
          </cell>
        </row>
        <row r="90">
          <cell r="A90" t="str">
            <v>SMP0E53</v>
          </cell>
          <cell r="G90" t="str">
            <v>JOAO CLIMACO</v>
          </cell>
          <cell r="S90" t="str">
            <v>Administrativo</v>
          </cell>
        </row>
        <row r="91">
          <cell r="A91" t="str">
            <v>SMP0E52</v>
          </cell>
          <cell r="G91" t="str">
            <v>MIKEIAS VELOSO</v>
          </cell>
          <cell r="S91" t="str">
            <v>Administrativo</v>
          </cell>
        </row>
        <row r="92">
          <cell r="A92" t="str">
            <v>SMP0E51</v>
          </cell>
          <cell r="G92" t="str">
            <v>JOISE MARQUES</v>
          </cell>
          <cell r="S92" t="str">
            <v>Administrativo</v>
          </cell>
        </row>
        <row r="93">
          <cell r="A93" t="str">
            <v>SMP0E50</v>
          </cell>
          <cell r="G93" t="str">
            <v>MATHEUS MARTINS</v>
          </cell>
          <cell r="S93" t="str">
            <v>DESMOBILIZADO</v>
          </cell>
        </row>
        <row r="94">
          <cell r="A94" t="str">
            <v>SMM9F74</v>
          </cell>
          <cell r="G94" t="str">
            <v xml:space="preserve">LUIS AUGUSTO </v>
          </cell>
          <cell r="S94" t="str">
            <v>Ligação Nova Multi 4x4</v>
          </cell>
        </row>
        <row r="95">
          <cell r="A95" t="str">
            <v>SMM9F06</v>
          </cell>
          <cell r="G95" t="str">
            <v xml:space="preserve">ARLISSON ROGERIO </v>
          </cell>
          <cell r="S95" t="str">
            <v>Plantão Leve 8 Horas Trio Carro 4X4</v>
          </cell>
        </row>
        <row r="96">
          <cell r="A96" t="str">
            <v>SMM9C87</v>
          </cell>
          <cell r="G96" t="str">
            <v xml:space="preserve">ARLISSON ROGERIO </v>
          </cell>
          <cell r="S96" t="str">
            <v>Plantão Leve 8 Horas Trio Carro 4X4</v>
          </cell>
        </row>
        <row r="97">
          <cell r="A97" t="str">
            <v>SMM9C85</v>
          </cell>
          <cell r="G97" t="str">
            <v xml:space="preserve">ARLISSON ROGERIO </v>
          </cell>
          <cell r="S97" t="str">
            <v>Plantão Leve 8 Horas Trio Carro 4X4</v>
          </cell>
        </row>
        <row r="98">
          <cell r="A98" t="str">
            <v>SMM9C84</v>
          </cell>
          <cell r="G98" t="str">
            <v>MARCOS ALENCAR</v>
          </cell>
          <cell r="S98" t="str">
            <v>Plantão Leve 8 Horas Trio Carro 4x4</v>
          </cell>
        </row>
        <row r="99">
          <cell r="A99" t="str">
            <v>SMM9C83</v>
          </cell>
          <cell r="G99" t="str">
            <v xml:space="preserve">DEILTON RIBEIRO </v>
          </cell>
          <cell r="S99" t="str">
            <v>Plantão 16 Horas 4x4</v>
          </cell>
        </row>
        <row r="100">
          <cell r="A100" t="str">
            <v>SMM9C81</v>
          </cell>
          <cell r="G100" t="str">
            <v xml:space="preserve">WASHIGTON </v>
          </cell>
          <cell r="S100" t="str">
            <v>Plantão 16 Horas 4x4</v>
          </cell>
        </row>
        <row r="101">
          <cell r="A101" t="str">
            <v>SMM9C78</v>
          </cell>
          <cell r="G101" t="str">
            <v>MARCOS ALENCAR</v>
          </cell>
          <cell r="S101" t="str">
            <v>Plantão Leve 8 Horas Trio Carro 4X4</v>
          </cell>
        </row>
        <row r="102">
          <cell r="A102" t="str">
            <v>SMM9C75</v>
          </cell>
          <cell r="G102" t="str">
            <v>PAULO FERREIRA</v>
          </cell>
          <cell r="S102" t="str">
            <v>Ligação Nova Multi 4x4</v>
          </cell>
        </row>
        <row r="103">
          <cell r="A103" t="str">
            <v>SMM9C69</v>
          </cell>
          <cell r="G103" t="str">
            <v>MARCOS ALENCAR</v>
          </cell>
          <cell r="S103" t="str">
            <v>Ligação Nova Multi 4x4</v>
          </cell>
        </row>
        <row r="104">
          <cell r="A104" t="str">
            <v>SMM9C64</v>
          </cell>
          <cell r="G104" t="str">
            <v>MARCOS ALENCAR</v>
          </cell>
          <cell r="S104" t="str">
            <v>RESERVA</v>
          </cell>
        </row>
        <row r="105">
          <cell r="A105" t="str">
            <v>SMM9C61</v>
          </cell>
          <cell r="G105" t="str">
            <v>MARCOS ALENCAR</v>
          </cell>
          <cell r="S105" t="str">
            <v>Plantão Leve 8 Horas Trio Carro 4X4</v>
          </cell>
        </row>
        <row r="106">
          <cell r="A106" t="str">
            <v>SMM7H39</v>
          </cell>
          <cell r="G106" t="str">
            <v>MANUEL NETO</v>
          </cell>
          <cell r="S106" t="str">
            <v>Levantador</v>
          </cell>
        </row>
        <row r="107">
          <cell r="A107" t="str">
            <v>SMM7F01</v>
          </cell>
          <cell r="G107" t="str">
            <v xml:space="preserve">EDNALDO ABREU MEIRELES </v>
          </cell>
          <cell r="S107" t="str">
            <v>Levantador</v>
          </cell>
        </row>
        <row r="108">
          <cell r="A108" t="str">
            <v>SMM7E97</v>
          </cell>
          <cell r="G108" t="str">
            <v xml:space="preserve">FLAVIO PEREIRA DE SOUZA </v>
          </cell>
          <cell r="S108" t="str">
            <v>Levantador</v>
          </cell>
        </row>
        <row r="109">
          <cell r="A109" t="str">
            <v>SMM7E85</v>
          </cell>
          <cell r="G109" t="str">
            <v>LUIS FILIPE</v>
          </cell>
          <cell r="S109" t="str">
            <v>Prospector</v>
          </cell>
        </row>
        <row r="110">
          <cell r="A110" t="str">
            <v>SMM7E81</v>
          </cell>
          <cell r="G110" t="str">
            <v>THIAGO CORDEIRO</v>
          </cell>
          <cell r="S110" t="str">
            <v>Levantador</v>
          </cell>
        </row>
        <row r="111">
          <cell r="A111" t="str">
            <v>SMM7E79</v>
          </cell>
          <cell r="G111" t="str">
            <v xml:space="preserve">JONAS ARAUJO SALES </v>
          </cell>
          <cell r="S111" t="str">
            <v>Levantador</v>
          </cell>
        </row>
        <row r="112">
          <cell r="A112" t="str">
            <v>SMM7E78</v>
          </cell>
          <cell r="G112" t="str">
            <v xml:space="preserve">ANTONIO CARLOS </v>
          </cell>
          <cell r="S112" t="str">
            <v>Levantador</v>
          </cell>
        </row>
        <row r="113">
          <cell r="A113" t="str">
            <v>SMM7E76</v>
          </cell>
          <cell r="G113" t="str">
            <v>LEONARDO MARTINS</v>
          </cell>
          <cell r="S113" t="str">
            <v>Levantador</v>
          </cell>
        </row>
        <row r="114">
          <cell r="A114" t="str">
            <v>SMM7E74</v>
          </cell>
          <cell r="G114" t="str">
            <v>EDISON TENAKS</v>
          </cell>
          <cell r="S114" t="str">
            <v>Levantador</v>
          </cell>
        </row>
        <row r="115">
          <cell r="A115" t="str">
            <v>SMM5B78</v>
          </cell>
          <cell r="G115" t="str">
            <v>MANUEL NETO</v>
          </cell>
          <cell r="S115" t="str">
            <v>Levantador</v>
          </cell>
        </row>
        <row r="116">
          <cell r="A116" t="str">
            <v>SMM5B77</v>
          </cell>
          <cell r="G116" t="str">
            <v>FAGNER</v>
          </cell>
          <cell r="S116" t="str">
            <v>Levantador</v>
          </cell>
        </row>
        <row r="117">
          <cell r="A117" t="str">
            <v>SMM5B76</v>
          </cell>
          <cell r="G117" t="str">
            <v>JOSE LUCAS</v>
          </cell>
          <cell r="S117" t="str">
            <v>Prospector</v>
          </cell>
        </row>
        <row r="118">
          <cell r="A118" t="str">
            <v>SMM5B75</v>
          </cell>
          <cell r="G118" t="str">
            <v>LUIS FILIPE</v>
          </cell>
          <cell r="S118" t="str">
            <v>Levantador</v>
          </cell>
        </row>
        <row r="119">
          <cell r="A119" t="str">
            <v>SMM5B74</v>
          </cell>
          <cell r="G119" t="str">
            <v>MANUEL NETO</v>
          </cell>
          <cell r="S119" t="str">
            <v>Levantador</v>
          </cell>
        </row>
        <row r="120">
          <cell r="A120" t="str">
            <v>SMM5B73</v>
          </cell>
          <cell r="G120" t="str">
            <v>LUIS FILIPE</v>
          </cell>
          <cell r="S120" t="str">
            <v>Prospector</v>
          </cell>
        </row>
        <row r="121">
          <cell r="A121" t="str">
            <v>SMM5B72</v>
          </cell>
          <cell r="G121" t="str">
            <v xml:space="preserve">LAERCIO CORTA LIMA </v>
          </cell>
          <cell r="S121" t="str">
            <v>Levantador</v>
          </cell>
        </row>
        <row r="122">
          <cell r="A122" t="str">
            <v>RZY9J76</v>
          </cell>
          <cell r="G122" t="str">
            <v>ERBERTH PEREIRA</v>
          </cell>
          <cell r="S122" t="str">
            <v>RESERVA</v>
          </cell>
        </row>
        <row r="123">
          <cell r="A123" t="str">
            <v>RZY7B75</v>
          </cell>
          <cell r="G123" t="str">
            <v>PAULO FERREIRA</v>
          </cell>
          <cell r="S123" t="str">
            <v>Plantão 16 Horas 4x4</v>
          </cell>
        </row>
        <row r="124">
          <cell r="A124" t="str">
            <v>RZY7B05</v>
          </cell>
          <cell r="G124" t="str">
            <v>PAULO FERREIRA</v>
          </cell>
          <cell r="S124" t="str">
            <v>Plantão Leve 8 Horas Trio Carro 4X4</v>
          </cell>
        </row>
        <row r="125">
          <cell r="A125" t="str">
            <v>RZY6J35</v>
          </cell>
          <cell r="G125" t="str">
            <v>MARCOS ALENCAR</v>
          </cell>
          <cell r="S125" t="str">
            <v>Plantão Leve 8 Horas Trio Carro 4X4</v>
          </cell>
        </row>
        <row r="126">
          <cell r="A126" t="str">
            <v>RZY6I95</v>
          </cell>
          <cell r="G126" t="str">
            <v xml:space="preserve">ARLISSON ROGERIO </v>
          </cell>
          <cell r="S126" t="str">
            <v>Plantão 16 Horas 4x4</v>
          </cell>
        </row>
        <row r="127">
          <cell r="A127" t="str">
            <v>RZY6G55</v>
          </cell>
          <cell r="G127" t="str">
            <v xml:space="preserve">WASHIGTON </v>
          </cell>
          <cell r="S127" t="str">
            <v>Plantão 16 Horas 4x4</v>
          </cell>
        </row>
        <row r="128">
          <cell r="A128" t="str">
            <v>RZY6F95</v>
          </cell>
          <cell r="G128" t="str">
            <v xml:space="preserve">WASHIGTON </v>
          </cell>
          <cell r="S128" t="str">
            <v>Plantão Leve 8 Horas Trio Carro 4X4</v>
          </cell>
        </row>
        <row r="129">
          <cell r="A129" t="str">
            <v>RZY6F55</v>
          </cell>
          <cell r="G129" t="str">
            <v xml:space="preserve">ARLISSON ROGERIO </v>
          </cell>
          <cell r="S129" t="str">
            <v>Plantão 16 Horas 4x4</v>
          </cell>
        </row>
        <row r="130">
          <cell r="A130" t="str">
            <v>RZY6E65</v>
          </cell>
          <cell r="G130" t="str">
            <v xml:space="preserve">LUIS AUGUSTO </v>
          </cell>
          <cell r="S130" t="str">
            <v>Plantão 16 Horas 4x4</v>
          </cell>
        </row>
        <row r="131">
          <cell r="A131" t="str">
            <v>RZY6D45</v>
          </cell>
          <cell r="G131" t="str">
            <v xml:space="preserve">LUIS AUGUSTO </v>
          </cell>
          <cell r="S131" t="str">
            <v>Plantão Leve 8 Horas Trio Carro 4X4</v>
          </cell>
        </row>
        <row r="132">
          <cell r="A132" t="str">
            <v>RZY6C85</v>
          </cell>
          <cell r="G132" t="str">
            <v>PAULO FERREIRA</v>
          </cell>
          <cell r="S132" t="str">
            <v>Plantão Leve 8 Horas Trio Carro 4X4</v>
          </cell>
        </row>
        <row r="133">
          <cell r="A133" t="str">
            <v>RZY6A34</v>
          </cell>
          <cell r="G133" t="str">
            <v xml:space="preserve">ARLISSON ROGERIO </v>
          </cell>
          <cell r="S133" t="str">
            <v>Corte e Religação Leve</v>
          </cell>
        </row>
        <row r="134">
          <cell r="A134" t="str">
            <v>RZY5G54</v>
          </cell>
          <cell r="G134" t="str">
            <v xml:space="preserve">ITALO </v>
          </cell>
          <cell r="S134" t="str">
            <v>Apoio a Obras</v>
          </cell>
        </row>
        <row r="135">
          <cell r="A135" t="str">
            <v>RZY5F84</v>
          </cell>
          <cell r="G135" t="str">
            <v>MARCOS ALENCAR</v>
          </cell>
          <cell r="S135" t="str">
            <v>Corte e Religação Leve</v>
          </cell>
        </row>
        <row r="136">
          <cell r="A136" t="str">
            <v>RZY5E64</v>
          </cell>
          <cell r="G136" t="str">
            <v>FROTA</v>
          </cell>
          <cell r="S136" t="str">
            <v>Corte e Religação Leve</v>
          </cell>
        </row>
        <row r="137">
          <cell r="A137" t="str">
            <v>RZY5D74</v>
          </cell>
          <cell r="G137" t="str">
            <v>LUIS FILIPE</v>
          </cell>
          <cell r="S137" t="str">
            <v>Equipe de Inspecao (Picape Leve)</v>
          </cell>
        </row>
        <row r="138">
          <cell r="A138" t="str">
            <v>RZY5D04</v>
          </cell>
          <cell r="G138" t="str">
            <v>MARCELO SOARES</v>
          </cell>
          <cell r="S138" t="str">
            <v>Corte e Religação Leve</v>
          </cell>
        </row>
        <row r="139">
          <cell r="A139" t="str">
            <v>RZY5C44</v>
          </cell>
          <cell r="G139" t="str">
            <v>ROGÉRIO</v>
          </cell>
          <cell r="S139" t="str">
            <v>Apoio a Obras</v>
          </cell>
        </row>
        <row r="140">
          <cell r="A140" t="str">
            <v>RZY2G76</v>
          </cell>
          <cell r="G140" t="str">
            <v>MARCOS ALENCAR</v>
          </cell>
          <cell r="S140" t="str">
            <v>RESERVA-Plantão 16 Horas 4x4</v>
          </cell>
        </row>
        <row r="141">
          <cell r="A141" t="str">
            <v>RZY2G26</v>
          </cell>
          <cell r="G141" t="str">
            <v>MARCOS ALENCAR</v>
          </cell>
          <cell r="S141" t="str">
            <v>Plantão Leve 8 Horas Trio Carro Leve</v>
          </cell>
        </row>
        <row r="142">
          <cell r="A142" t="str">
            <v>RZY2F16</v>
          </cell>
          <cell r="G142" t="str">
            <v>MARCOS ALENCAR</v>
          </cell>
          <cell r="S142" t="str">
            <v>RESERVA-Plantão Leve 8 Horas Trio Carro 4X4</v>
          </cell>
        </row>
        <row r="143">
          <cell r="A143" t="str">
            <v>RZY2D36</v>
          </cell>
          <cell r="G143" t="str">
            <v xml:space="preserve">ARLISSON ROGERIO </v>
          </cell>
          <cell r="S143" t="str">
            <v>Plantão 16 Horas 4x4</v>
          </cell>
        </row>
        <row r="144">
          <cell r="A144" t="str">
            <v>RZY2B66</v>
          </cell>
          <cell r="G144" t="str">
            <v xml:space="preserve">DEILTON RIBEIRO </v>
          </cell>
          <cell r="S144" t="str">
            <v>Plantão 16 Horas 4x4</v>
          </cell>
        </row>
        <row r="145">
          <cell r="A145" t="str">
            <v>RZY2A86</v>
          </cell>
          <cell r="G145" t="str">
            <v>DEILTON RIBEIRO</v>
          </cell>
          <cell r="S145" t="str">
            <v>Plantão Leve 8 Horas Trio Carro 4X4</v>
          </cell>
        </row>
        <row r="146">
          <cell r="A146" t="str">
            <v>RZY1C85</v>
          </cell>
          <cell r="G146" t="str">
            <v xml:space="preserve">ANTONIO SAMUEL </v>
          </cell>
          <cell r="S146" t="str">
            <v>Administrativo</v>
          </cell>
        </row>
        <row r="147">
          <cell r="A147" t="str">
            <v>RZY1C45</v>
          </cell>
          <cell r="G147" t="str">
            <v xml:space="preserve">LUIS AUGUSTO </v>
          </cell>
          <cell r="S147" t="str">
            <v>Fiscal</v>
          </cell>
        </row>
        <row r="148">
          <cell r="A148" t="str">
            <v>RZY1B65</v>
          </cell>
          <cell r="G148" t="str">
            <v>FROTA</v>
          </cell>
          <cell r="S148" t="str">
            <v>Corte e Religação Leve</v>
          </cell>
        </row>
        <row r="149">
          <cell r="A149" t="str">
            <v>RZY1A05</v>
          </cell>
          <cell r="G149" t="str">
            <v>DEILTON RIBEIRO</v>
          </cell>
          <cell r="S149" t="str">
            <v>Corte e Religação Leve</v>
          </cell>
        </row>
        <row r="150">
          <cell r="A150" t="str">
            <v>RZY0J55</v>
          </cell>
          <cell r="G150" t="str">
            <v>DEILTON RIBEIRO</v>
          </cell>
          <cell r="S150" t="str">
            <v>Fiscal</v>
          </cell>
        </row>
        <row r="151">
          <cell r="A151" t="str">
            <v>RZY0J15</v>
          </cell>
          <cell r="G151" t="str">
            <v>GUILHERME FONSECA</v>
          </cell>
          <cell r="S151" t="str">
            <v>Administrativo</v>
          </cell>
        </row>
        <row r="152">
          <cell r="A152" t="str">
            <v>RZY0H65</v>
          </cell>
          <cell r="G152" t="str">
            <v>MARCOS ALENCAR</v>
          </cell>
          <cell r="S152" t="str">
            <v>Corte e Religação Leve</v>
          </cell>
        </row>
        <row r="153">
          <cell r="A153" t="str">
            <v>RZY0G85</v>
          </cell>
          <cell r="G153" t="str">
            <v>EMANUEL</v>
          </cell>
          <cell r="S153" t="str">
            <v>Fiscal</v>
          </cell>
        </row>
        <row r="154">
          <cell r="A154" t="str">
            <v>RZU4I25</v>
          </cell>
          <cell r="G154" t="str">
            <v>MESSIAS ABREU</v>
          </cell>
          <cell r="S154" t="str">
            <v>Construção/Manutenção 6 Homens</v>
          </cell>
        </row>
        <row r="155">
          <cell r="A155" t="str">
            <v>RZT2A74</v>
          </cell>
          <cell r="G155" t="str">
            <v>LUIS FILIPE</v>
          </cell>
          <cell r="S155" t="str">
            <v>Administrativo</v>
          </cell>
        </row>
        <row r="156">
          <cell r="A156" t="str">
            <v>RZT1A41</v>
          </cell>
          <cell r="G156" t="str">
            <v xml:space="preserve">BRUNO NUNES XAVIER </v>
          </cell>
          <cell r="S156" t="str">
            <v>Fiscal</v>
          </cell>
        </row>
        <row r="157">
          <cell r="A157" t="str">
            <v>RZT0J51</v>
          </cell>
          <cell r="G157" t="str">
            <v xml:space="preserve">WASHIGTON </v>
          </cell>
          <cell r="S157" t="str">
            <v>Fiscal</v>
          </cell>
        </row>
        <row r="158">
          <cell r="A158" t="str">
            <v>RZT0I21</v>
          </cell>
          <cell r="G158" t="str">
            <v>ADAILTON LIMA FERREIRA</v>
          </cell>
          <cell r="S158" t="str">
            <v>Fiscal</v>
          </cell>
        </row>
        <row r="159">
          <cell r="A159" t="str">
            <v>RZR7D91</v>
          </cell>
          <cell r="G159" t="str">
            <v>JOSIEL MENESES</v>
          </cell>
          <cell r="S159" t="str">
            <v>Manutenção Linha Viva 4 Homens - SPOT</v>
          </cell>
        </row>
        <row r="160">
          <cell r="A160" t="str">
            <v>PCG7705</v>
          </cell>
          <cell r="G160" t="str">
            <v>MANUEL NETO</v>
          </cell>
          <cell r="S160" t="str">
            <v>Construção/Manutenção 6 Homens</v>
          </cell>
        </row>
        <row r="161">
          <cell r="A161" t="str">
            <v>QYG6J04</v>
          </cell>
          <cell r="G161" t="str">
            <v>JOSIEL MENESES</v>
          </cell>
          <cell r="S161" t="str">
            <v>Construção Linha Morta 6 Homens - SPOT</v>
          </cell>
        </row>
        <row r="162">
          <cell r="A162" t="str">
            <v>RZR1G10</v>
          </cell>
          <cell r="G162" t="str">
            <v>JOAO CLIMACO</v>
          </cell>
          <cell r="S162" t="str">
            <v>Poda mid sky</v>
          </cell>
        </row>
        <row r="163">
          <cell r="A163" t="str">
            <v>RZR1F70</v>
          </cell>
          <cell r="G163" t="str">
            <v>WERBETH RODRIGUES</v>
          </cell>
          <cell r="S163" t="str">
            <v>Poda mid sky</v>
          </cell>
        </row>
        <row r="164">
          <cell r="A164" t="str">
            <v>ROU7A86</v>
          </cell>
          <cell r="G164" t="str">
            <v>GABRYEL GOMES</v>
          </cell>
          <cell r="S164" t="str">
            <v>Poda mid sky</v>
          </cell>
        </row>
        <row r="165">
          <cell r="A165" t="str">
            <v>RZQ9J70</v>
          </cell>
          <cell r="G165" t="str">
            <v>ERBERTH PEREIRA</v>
          </cell>
          <cell r="S165" t="str">
            <v>Administrativo</v>
          </cell>
        </row>
        <row r="166">
          <cell r="A166" t="str">
            <v>RZQ9I73</v>
          </cell>
          <cell r="G166" t="str">
            <v>MESSIAS ABREU</v>
          </cell>
          <cell r="S166" t="str">
            <v>Construção/Manutenção 6 Homens</v>
          </cell>
        </row>
        <row r="167">
          <cell r="A167" t="str">
            <v>RZQ9H90</v>
          </cell>
          <cell r="G167" t="str">
            <v>EDISON TENAKS</v>
          </cell>
          <cell r="S167" t="str">
            <v>Levantador</v>
          </cell>
        </row>
        <row r="168">
          <cell r="A168" t="str">
            <v>RZQ9H30</v>
          </cell>
          <cell r="G168" t="str">
            <v>THIAGO CORDEIRO</v>
          </cell>
          <cell r="S168" t="str">
            <v>Levantador</v>
          </cell>
        </row>
        <row r="169">
          <cell r="A169" t="str">
            <v>RZQ9H10</v>
          </cell>
          <cell r="G169" t="str">
            <v>FAGNER</v>
          </cell>
          <cell r="S169" t="str">
            <v>Levantador</v>
          </cell>
        </row>
        <row r="170">
          <cell r="A170" t="str">
            <v>RZQ1B74</v>
          </cell>
          <cell r="G170" t="str">
            <v>RENATO RAMOS CARVALHO</v>
          </cell>
          <cell r="S170" t="str">
            <v>Fiscal</v>
          </cell>
        </row>
        <row r="171">
          <cell r="A171" t="str">
            <v>RZQ1B54</v>
          </cell>
          <cell r="G171" t="str">
            <v>FABIO LOPES</v>
          </cell>
          <cell r="S171" t="str">
            <v>Administrativo</v>
          </cell>
        </row>
        <row r="172">
          <cell r="A172" t="str">
            <v>RZQ0A61</v>
          </cell>
          <cell r="G172" t="str">
            <v>FROTA</v>
          </cell>
          <cell r="S172" t="str">
            <v>Administrativo</v>
          </cell>
        </row>
        <row r="173">
          <cell r="A173" t="str">
            <v>RZP0G64</v>
          </cell>
          <cell r="G173" t="str">
            <v>JORDEN CLEYSON DE LUCENA MOTA</v>
          </cell>
          <cell r="S173" t="str">
            <v>Fiscal</v>
          </cell>
        </row>
        <row r="174">
          <cell r="A174" t="str">
            <v>RZP0G44</v>
          </cell>
          <cell r="G174" t="str">
            <v>GABRYEL GOMES</v>
          </cell>
          <cell r="S174" t="str">
            <v>Administrativo</v>
          </cell>
        </row>
        <row r="175">
          <cell r="A175" t="str">
            <v>RZP0F04</v>
          </cell>
          <cell r="G175" t="str">
            <v>CONTRATAR</v>
          </cell>
          <cell r="S175" t="str">
            <v>Administrativo</v>
          </cell>
        </row>
        <row r="176">
          <cell r="A176" t="str">
            <v>ROU7A88</v>
          </cell>
          <cell r="G176" t="str">
            <v>WERBETH RODRIGUES</v>
          </cell>
          <cell r="S176" t="str">
            <v>Poda mid sky</v>
          </cell>
        </row>
        <row r="177">
          <cell r="A177" t="str">
            <v>RZO1I53</v>
          </cell>
          <cell r="G177" t="str">
            <v>JOAO CLIMACO</v>
          </cell>
          <cell r="S177" t="str">
            <v>Manutenção TAT sky 3h</v>
          </cell>
        </row>
        <row r="178">
          <cell r="A178" t="str">
            <v>RZM9F31</v>
          </cell>
          <cell r="G178" t="str">
            <v>LUIS FILIPE</v>
          </cell>
          <cell r="S178" t="str">
            <v>DESMOBILIZADO</v>
          </cell>
        </row>
        <row r="179">
          <cell r="A179" t="str">
            <v>RZM9D01</v>
          </cell>
          <cell r="G179" t="str">
            <v>BRUNO OLIVEIRA</v>
          </cell>
          <cell r="S179" t="str">
            <v>DESMOBILIZADO</v>
          </cell>
        </row>
        <row r="180">
          <cell r="A180" t="str">
            <v>RZM7H81</v>
          </cell>
          <cell r="G180" t="str">
            <v>LUIS FILIPE</v>
          </cell>
          <cell r="S180" t="str">
            <v>DESMOBILIZADO</v>
          </cell>
        </row>
        <row r="181">
          <cell r="A181" t="str">
            <v>RZM7A41</v>
          </cell>
          <cell r="G181" t="str">
            <v>PABLO LOURA</v>
          </cell>
          <cell r="S181" t="str">
            <v>DESMOBILIZADO</v>
          </cell>
        </row>
        <row r="182">
          <cell r="A182" t="str">
            <v>RZM1D72</v>
          </cell>
          <cell r="G182" t="str">
            <v>GLEYSON DE SOUSA</v>
          </cell>
          <cell r="S182" t="str">
            <v>DESMOBILIZADO</v>
          </cell>
        </row>
        <row r="183">
          <cell r="A183" t="str">
            <v>RZM1C62</v>
          </cell>
          <cell r="G183" t="str">
            <v>FRANCISCO WILLIAM</v>
          </cell>
          <cell r="S183" t="str">
            <v>DESMOBILIZADO</v>
          </cell>
        </row>
        <row r="184">
          <cell r="A184" t="str">
            <v>RZM1C32</v>
          </cell>
          <cell r="G184" t="str">
            <v>DESMOBILIZADA</v>
          </cell>
          <cell r="S184" t="str">
            <v>DESMOBILIZADO</v>
          </cell>
        </row>
        <row r="185">
          <cell r="A185" t="str">
            <v>RZM1B82</v>
          </cell>
          <cell r="G185" t="str">
            <v>LUIS FILIPE</v>
          </cell>
          <cell r="S185" t="str">
            <v>DESMOBILIZADO</v>
          </cell>
        </row>
        <row r="186">
          <cell r="A186" t="str">
            <v>RZM1B32</v>
          </cell>
          <cell r="G186" t="str">
            <v>EMANUEL COSTA PINTO</v>
          </cell>
          <cell r="S186" t="str">
            <v>DESMOBILIZADO</v>
          </cell>
        </row>
        <row r="187">
          <cell r="A187" t="str">
            <v>RZM1B02</v>
          </cell>
          <cell r="G187" t="str">
            <v>LUIS FILIPE</v>
          </cell>
          <cell r="S187" t="str">
            <v>DESMOBILIZADO</v>
          </cell>
        </row>
        <row r="188">
          <cell r="A188" t="str">
            <v>RZM1A82</v>
          </cell>
          <cell r="G188" t="str">
            <v>LUIS FILIPE</v>
          </cell>
          <cell r="S188" t="str">
            <v>DESMOBILIZADO</v>
          </cell>
        </row>
        <row r="189">
          <cell r="A189" t="str">
            <v>RZM1A32</v>
          </cell>
          <cell r="G189" t="str">
            <v>EDSON DE SOUZA PEREIRA</v>
          </cell>
          <cell r="S189" t="str">
            <v>DESMOBILIZADO</v>
          </cell>
        </row>
        <row r="190">
          <cell r="A190" t="str">
            <v>RZM1A12</v>
          </cell>
          <cell r="G190" t="str">
            <v>FRANCISCO ASSIS</v>
          </cell>
          <cell r="S190" t="str">
            <v>DESMOBILIZADO</v>
          </cell>
        </row>
        <row r="191">
          <cell r="A191" t="str">
            <v>RZM0J92</v>
          </cell>
          <cell r="G191" t="str">
            <v>LUIS FILIPE</v>
          </cell>
          <cell r="S191" t="str">
            <v>DESMOBILIZADO</v>
          </cell>
        </row>
        <row r="192">
          <cell r="A192" t="str">
            <v>RZM0I82</v>
          </cell>
          <cell r="G192" t="str">
            <v>LUIS FILIPE</v>
          </cell>
          <cell r="S192" t="str">
            <v>DESMOBILIZADO</v>
          </cell>
        </row>
        <row r="193">
          <cell r="A193" t="str">
            <v>RZL5F08</v>
          </cell>
          <cell r="G193" t="str">
            <v>LUIS FILIPE</v>
          </cell>
          <cell r="S193" t="str">
            <v>DESMOBILIZADO</v>
          </cell>
        </row>
        <row r="194">
          <cell r="A194" t="str">
            <v>RZL5E48</v>
          </cell>
          <cell r="G194" t="str">
            <v>GUILHERME FONSECA</v>
          </cell>
          <cell r="S194" t="str">
            <v>DESMOBILIZADO</v>
          </cell>
        </row>
        <row r="195">
          <cell r="A195" t="str">
            <v>RZL5E08</v>
          </cell>
          <cell r="G195" t="str">
            <v>PRYCILLA</v>
          </cell>
          <cell r="S195" t="str">
            <v>Pedreiro ADM</v>
          </cell>
        </row>
        <row r="196">
          <cell r="A196" t="str">
            <v>RZL5D18</v>
          </cell>
          <cell r="G196" t="str">
            <v>LUIS FILIPE</v>
          </cell>
          <cell r="S196" t="str">
            <v>DESMOBILIZADO</v>
          </cell>
        </row>
        <row r="197">
          <cell r="A197" t="str">
            <v>RZL4J88</v>
          </cell>
          <cell r="G197" t="str">
            <v>DEILTON RIBEIRO</v>
          </cell>
          <cell r="S197" t="str">
            <v>DESMOBILIZADO</v>
          </cell>
        </row>
        <row r="198">
          <cell r="A198" t="str">
            <v>RZL4I68</v>
          </cell>
          <cell r="G198" t="str">
            <v>PABLO LOURA</v>
          </cell>
          <cell r="S198" t="str">
            <v>DESMOBILIZADO</v>
          </cell>
        </row>
        <row r="199">
          <cell r="A199" t="str">
            <v>RZL4H98</v>
          </cell>
          <cell r="G199" t="str">
            <v>LUIS FILIPE</v>
          </cell>
          <cell r="S199" t="str">
            <v>DESMOBILIZADO</v>
          </cell>
        </row>
        <row r="200">
          <cell r="A200" t="str">
            <v>RZL4G98</v>
          </cell>
          <cell r="G200" t="str">
            <v>DEILTON RIBEIRO</v>
          </cell>
          <cell r="S200" t="str">
            <v>DESMOBILIZADO</v>
          </cell>
        </row>
        <row r="201">
          <cell r="A201" t="str">
            <v>RZL4F88</v>
          </cell>
          <cell r="G201" t="str">
            <v>DESMOBILIZADA</v>
          </cell>
          <cell r="S201" t="str">
            <v>DESMOBILIZADO</v>
          </cell>
        </row>
        <row r="202">
          <cell r="A202" t="str">
            <v>RZL3D69</v>
          </cell>
          <cell r="G202" t="str">
            <v xml:space="preserve">ARLISSON ROGERIO </v>
          </cell>
          <cell r="S202" t="str">
            <v>DESMOBILIZADO</v>
          </cell>
        </row>
        <row r="203">
          <cell r="A203" t="str">
            <v>QYP1A99</v>
          </cell>
          <cell r="G203" t="str">
            <v xml:space="preserve">ARLISSON ROGERIO </v>
          </cell>
          <cell r="S203" t="str">
            <v>DESMOBILIZADO</v>
          </cell>
        </row>
        <row r="204">
          <cell r="A204" t="str">
            <v>RZL3C89</v>
          </cell>
          <cell r="G204" t="str">
            <v>MANUEL NETO</v>
          </cell>
          <cell r="S204" t="str">
            <v>DESMOBILIZADO</v>
          </cell>
        </row>
        <row r="205">
          <cell r="A205" t="str">
            <v>RZL3C39</v>
          </cell>
          <cell r="G205" t="str">
            <v>LUIS FILIPE</v>
          </cell>
          <cell r="S205" t="str">
            <v>DESMOBILIZADO</v>
          </cell>
        </row>
        <row r="206">
          <cell r="A206" t="str">
            <v>RZL3B89</v>
          </cell>
          <cell r="G206" t="str">
            <v>LUIS FILIPE</v>
          </cell>
          <cell r="S206" t="str">
            <v>DESMOBILIZADO</v>
          </cell>
        </row>
        <row r="207">
          <cell r="A207" t="str">
            <v>RZK4I18</v>
          </cell>
          <cell r="G207" t="str">
            <v>LUIS FILIPE</v>
          </cell>
          <cell r="S207" t="str">
            <v>Prospector</v>
          </cell>
        </row>
        <row r="208">
          <cell r="A208" t="str">
            <v>RZJ0A84</v>
          </cell>
          <cell r="G208" t="e">
            <v>#N/A</v>
          </cell>
          <cell r="S208" t="str">
            <v>DESMOBILIZADO</v>
          </cell>
        </row>
        <row r="209">
          <cell r="A209" t="str">
            <v>RVW7J37</v>
          </cell>
          <cell r="G209" t="str">
            <v>MANOEL NETO</v>
          </cell>
          <cell r="S209" t="str">
            <v>DESMOBILIZADO</v>
          </cell>
        </row>
        <row r="210">
          <cell r="A210" t="str">
            <v>RUZ9B85</v>
          </cell>
          <cell r="G210" t="str">
            <v>PAULO FERREIRA</v>
          </cell>
          <cell r="S210" t="str">
            <v>Plantão Leve 8 Horas Trio Carro 4X4</v>
          </cell>
        </row>
        <row r="211">
          <cell r="A211" t="str">
            <v>RUF0E16</v>
          </cell>
          <cell r="G211" t="str">
            <v>DEILTON RIBEIRO</v>
          </cell>
          <cell r="S211" t="str">
            <v>DESMOBILIZADO</v>
          </cell>
        </row>
        <row r="212">
          <cell r="A212" t="str">
            <v>RUB7D51</v>
          </cell>
          <cell r="G212" t="str">
            <v>LUIS FILIPE</v>
          </cell>
          <cell r="S212" t="str">
            <v>DESMOBILIZADO</v>
          </cell>
        </row>
        <row r="213">
          <cell r="A213" t="str">
            <v>RUB7D49</v>
          </cell>
          <cell r="G213" t="str">
            <v>LUIS FILIPE</v>
          </cell>
          <cell r="S213" t="str">
            <v>DESMOBILIZADO</v>
          </cell>
        </row>
        <row r="214">
          <cell r="A214" t="str">
            <v>RUA0H05</v>
          </cell>
          <cell r="G214" t="str">
            <v>MARCOS ALENCAR</v>
          </cell>
          <cell r="S214" t="str">
            <v>DESMOBILIZADO</v>
          </cell>
        </row>
        <row r="215">
          <cell r="A215" t="str">
            <v>RUA0H03</v>
          </cell>
          <cell r="G215" t="str">
            <v xml:space="preserve">ARLISSON ROGERIO </v>
          </cell>
          <cell r="S215" t="str">
            <v>Plantão Leve 8 Horas Trio Carro 4X4</v>
          </cell>
        </row>
        <row r="216">
          <cell r="A216" t="str">
            <v>RUA0H01</v>
          </cell>
          <cell r="G216" t="str">
            <v>DEILTON RIBEIRO</v>
          </cell>
          <cell r="S216" t="str">
            <v>DESMOBILIZADO</v>
          </cell>
        </row>
        <row r="217">
          <cell r="A217" t="str">
            <v>RUA0G98</v>
          </cell>
          <cell r="G217" t="str">
            <v>FRANCISCO ASSIS</v>
          </cell>
          <cell r="S217" t="str">
            <v>DESMOBILIZADO</v>
          </cell>
        </row>
        <row r="218">
          <cell r="A218" t="str">
            <v>RUA0G96</v>
          </cell>
          <cell r="G218" t="str">
            <v>DEILTON RIBEIRO</v>
          </cell>
          <cell r="S218" t="str">
            <v>Plantão Leve 8 Horas Trio Carro 4X4</v>
          </cell>
        </row>
        <row r="219">
          <cell r="A219" t="str">
            <v>RUA0G85</v>
          </cell>
          <cell r="G219" t="str">
            <v>FROTA</v>
          </cell>
          <cell r="S219" t="str">
            <v>Plantão Leve 8 Horas Trio Carro 4X4</v>
          </cell>
        </row>
        <row r="220">
          <cell r="A220" t="str">
            <v>RUA0G84</v>
          </cell>
          <cell r="G220" t="str">
            <v>PAULO FERREIRA</v>
          </cell>
          <cell r="S220" t="str">
            <v>DESMOBILIZADO</v>
          </cell>
        </row>
        <row r="221">
          <cell r="A221" t="str">
            <v>RUA0G83</v>
          </cell>
          <cell r="G221" t="str">
            <v xml:space="preserve">WASHIGTON </v>
          </cell>
          <cell r="S221" t="str">
            <v>Ligação Nova Multi 4x4</v>
          </cell>
        </row>
        <row r="222">
          <cell r="A222" t="str">
            <v>RTZ8D16</v>
          </cell>
          <cell r="G222" t="str">
            <v>THIAGO CORDEIRO</v>
          </cell>
          <cell r="S222" t="str">
            <v>DESMOBILIZADO</v>
          </cell>
        </row>
        <row r="223">
          <cell r="A223" t="str">
            <v>RTZ8D13</v>
          </cell>
          <cell r="G223" t="str">
            <v>MARCELO SOARES</v>
          </cell>
          <cell r="S223" t="str">
            <v>Plantão Leve 8 Horas Trio Carro 4X4</v>
          </cell>
        </row>
        <row r="224">
          <cell r="A224" t="str">
            <v>RTZ8D09</v>
          </cell>
          <cell r="G224" t="str">
            <v xml:space="preserve">WASHIGTON </v>
          </cell>
          <cell r="S224" t="str">
            <v>Plantão Leve 8 Horas Trio Carro 4X4</v>
          </cell>
        </row>
        <row r="225">
          <cell r="A225" t="str">
            <v>RTE8A38</v>
          </cell>
          <cell r="G225" t="str">
            <v>DEILTON RIBEIRO</v>
          </cell>
          <cell r="S225" t="str">
            <v>DESMOBILIZADO</v>
          </cell>
        </row>
        <row r="226">
          <cell r="A226" t="str">
            <v>RTE4D09</v>
          </cell>
          <cell r="G226" t="str">
            <v>DEILTON RIBEIRO</v>
          </cell>
          <cell r="S226" t="str">
            <v>DESMOBILIZADO</v>
          </cell>
        </row>
        <row r="227">
          <cell r="A227" t="str">
            <v>ROY8H86</v>
          </cell>
          <cell r="G227" t="str">
            <v>MARCOS ALENCAR</v>
          </cell>
          <cell r="S227" t="str">
            <v>Plantão Leve 8 Horas Trio Carro 4X4</v>
          </cell>
        </row>
        <row r="228">
          <cell r="A228" t="str">
            <v>ROY8G54</v>
          </cell>
          <cell r="G228" t="str">
            <v>PAULO FERREIRA</v>
          </cell>
          <cell r="S228" t="str">
            <v>Plantão Leve 8 Horas Trio Carro 4X4</v>
          </cell>
        </row>
        <row r="229">
          <cell r="A229" t="str">
            <v>ROV1J74</v>
          </cell>
          <cell r="G229" t="str">
            <v>RAIMUNDO ALMEIDA</v>
          </cell>
          <cell r="S229" t="str">
            <v>Construção/Manutenção 6 Homens</v>
          </cell>
        </row>
        <row r="230">
          <cell r="A230" t="str">
            <v>ROV1J63</v>
          </cell>
          <cell r="G230" t="str">
            <v>RAIMUNDO ALMEIDA</v>
          </cell>
          <cell r="S230" t="str">
            <v>Construção/Manutenção 6 Homens</v>
          </cell>
        </row>
        <row r="231">
          <cell r="A231" t="str">
            <v>ROU7A92</v>
          </cell>
          <cell r="G231" t="str">
            <v>WERBETH RODRIGUES</v>
          </cell>
          <cell r="S231" t="str">
            <v>Poda mid sky</v>
          </cell>
        </row>
        <row r="232">
          <cell r="A232" t="str">
            <v>ROU7A91</v>
          </cell>
          <cell r="G232" t="str">
            <v>WERBETH RODRIGUES</v>
          </cell>
          <cell r="S232" t="str">
            <v>Poda mid sky</v>
          </cell>
        </row>
        <row r="233">
          <cell r="A233" t="str">
            <v>ROU7A80</v>
          </cell>
          <cell r="G233" t="str">
            <v>GABRYEL GOMES</v>
          </cell>
          <cell r="S233" t="str">
            <v>Manutenção TAT sky 3h</v>
          </cell>
        </row>
        <row r="234">
          <cell r="A234" t="str">
            <v>ROU7A79</v>
          </cell>
          <cell r="G234" t="str">
            <v>EDINAEL</v>
          </cell>
          <cell r="S234" t="str">
            <v>Manutenção Linha Viva 4 Homens</v>
          </cell>
        </row>
        <row r="235">
          <cell r="A235" t="str">
            <v>ROU6E55</v>
          </cell>
          <cell r="G235" t="str">
            <v>JOAO CLIMACO</v>
          </cell>
          <cell r="S235" t="str">
            <v>Manutenção Linha Viva 4 Homens</v>
          </cell>
        </row>
        <row r="236">
          <cell r="A236" t="str">
            <v>ROU7A77</v>
          </cell>
          <cell r="G236" t="str">
            <v>RICARDO</v>
          </cell>
          <cell r="S236" t="str">
            <v>Poda mid sky</v>
          </cell>
        </row>
        <row r="237">
          <cell r="A237" t="str">
            <v>ROU7A73</v>
          </cell>
          <cell r="G237" t="str">
            <v>GABRYEL GOMES</v>
          </cell>
          <cell r="S237" t="str">
            <v>Poda mid sky</v>
          </cell>
        </row>
        <row r="238">
          <cell r="A238" t="str">
            <v>ROU6H82</v>
          </cell>
          <cell r="G238" t="str">
            <v>ERBERTH PEREIRA</v>
          </cell>
          <cell r="S238" t="str">
            <v>Manutenção Linha Viva 4 Homens</v>
          </cell>
        </row>
        <row r="239">
          <cell r="A239" t="str">
            <v>ROU6H74</v>
          </cell>
          <cell r="G239" t="str">
            <v>GABRYEL GOMES</v>
          </cell>
          <cell r="S239" t="str">
            <v>Manutenção Linha Viva 4 Homens</v>
          </cell>
        </row>
        <row r="240">
          <cell r="A240" t="str">
            <v>ROU6H57</v>
          </cell>
          <cell r="G240" t="str">
            <v>GABRYEL GOMES</v>
          </cell>
          <cell r="S240" t="str">
            <v>Manutenção Linha Viva 4 Homens</v>
          </cell>
        </row>
        <row r="241">
          <cell r="A241" t="str">
            <v>ROU6H44</v>
          </cell>
          <cell r="G241" t="str">
            <v>SILVANO</v>
          </cell>
          <cell r="S241" t="str">
            <v>Poda mid sky</v>
          </cell>
        </row>
        <row r="242">
          <cell r="A242" t="str">
            <v>SOD4F46</v>
          </cell>
          <cell r="G242" t="str">
            <v>MANUEL NETO</v>
          </cell>
          <cell r="S242" t="str">
            <v>Construção/Manutenção 6 Homens</v>
          </cell>
        </row>
        <row r="243">
          <cell r="A243" t="str">
            <v>ROU6H98</v>
          </cell>
          <cell r="G243" t="str">
            <v>EVERALDO NOGUEIRA</v>
          </cell>
          <cell r="S243" t="str">
            <v>Manutenção Linha Viva 4 Homens</v>
          </cell>
        </row>
        <row r="244">
          <cell r="A244" t="str">
            <v>ROT6C71</v>
          </cell>
          <cell r="G244" t="str">
            <v>RAIMUNDO ALMEIDA</v>
          </cell>
          <cell r="S244" t="str">
            <v>Apoio a Obras</v>
          </cell>
        </row>
        <row r="245">
          <cell r="A245" t="str">
            <v>ROT6C67</v>
          </cell>
          <cell r="G245" t="str">
            <v>THIAGO CORDEIRO</v>
          </cell>
          <cell r="S245" t="str">
            <v>DESMOBILIZADO</v>
          </cell>
        </row>
        <row r="246">
          <cell r="A246" t="str">
            <v>ROT6C65</v>
          </cell>
          <cell r="G246" t="str">
            <v>DEILTON RIBEIRO</v>
          </cell>
          <cell r="S246" t="str">
            <v>DESMOBILIZADO</v>
          </cell>
        </row>
        <row r="247">
          <cell r="A247" t="str">
            <v>ROT6C63</v>
          </cell>
          <cell r="G247" t="str">
            <v xml:space="preserve">ARLISSON ROGERIO </v>
          </cell>
          <cell r="S247" t="str">
            <v>Plantão Leve 8 Horas Trio Carro 4X4</v>
          </cell>
        </row>
        <row r="248">
          <cell r="A248" t="str">
            <v>ROT6C62</v>
          </cell>
          <cell r="G248" t="str">
            <v xml:space="preserve">ARLISSON ROGERIO </v>
          </cell>
          <cell r="S248" t="str">
            <v>Plantão Leve 8 Horas Trio Carro 4X4</v>
          </cell>
        </row>
        <row r="249">
          <cell r="A249" t="str">
            <v>RNP8E84</v>
          </cell>
          <cell r="G249" t="str">
            <v>DEILTON RIBEIRO</v>
          </cell>
          <cell r="S249" t="str">
            <v>DESMOBILIZADO</v>
          </cell>
        </row>
        <row r="250">
          <cell r="A250" t="str">
            <v>QYZ4D44</v>
          </cell>
          <cell r="G250" t="str">
            <v>MATEUS</v>
          </cell>
          <cell r="S250" t="str">
            <v>Reserva</v>
          </cell>
        </row>
        <row r="251">
          <cell r="A251" t="str">
            <v>QYQ8C35</v>
          </cell>
          <cell r="G251" t="str">
            <v>MESSIAS ABREU</v>
          </cell>
          <cell r="S251" t="str">
            <v>Apoio a Obras</v>
          </cell>
        </row>
        <row r="252">
          <cell r="A252" t="str">
            <v>QYP9F77</v>
          </cell>
          <cell r="G252" t="str">
            <v>ACLESSIO</v>
          </cell>
          <cell r="S252" t="str">
            <v>DESMOBILIZADO</v>
          </cell>
        </row>
        <row r="253">
          <cell r="A253" t="str">
            <v>QYP9E67</v>
          </cell>
          <cell r="G253" t="str">
            <v>LUIS FILIPE</v>
          </cell>
          <cell r="S253" t="str">
            <v>DESMOBILIZADO</v>
          </cell>
        </row>
        <row r="254">
          <cell r="A254" t="str">
            <v>QYP9D17</v>
          </cell>
          <cell r="G254" t="str">
            <v>RAFAEL</v>
          </cell>
          <cell r="S254" t="str">
            <v>Apoio a Obras</v>
          </cell>
        </row>
        <row r="255">
          <cell r="A255" t="str">
            <v>QYP4C78</v>
          </cell>
          <cell r="G255" t="str">
            <v>DESMOBILIZADA</v>
          </cell>
          <cell r="S255" t="str">
            <v>DESMOBILIZADO</v>
          </cell>
        </row>
        <row r="256">
          <cell r="A256" t="str">
            <v>QYP4C18</v>
          </cell>
          <cell r="G256" t="str">
            <v>FROTA</v>
          </cell>
          <cell r="S256" t="str">
            <v>Administrativo</v>
          </cell>
        </row>
        <row r="257">
          <cell r="A257" t="str">
            <v>QYP4A78</v>
          </cell>
          <cell r="G257" t="str">
            <v>LUIS FILIPE</v>
          </cell>
          <cell r="S257" t="str">
            <v>DESMOBILIZADO</v>
          </cell>
        </row>
        <row r="258">
          <cell r="A258" t="str">
            <v>QYP1C99</v>
          </cell>
          <cell r="G258" t="str">
            <v>DESMOBILIZADA</v>
          </cell>
          <cell r="S258" t="str">
            <v>DESMOBILIZADO</v>
          </cell>
        </row>
        <row r="259">
          <cell r="A259" t="str">
            <v>QYP1C59</v>
          </cell>
          <cell r="G259" t="str">
            <v>PRYCILLA</v>
          </cell>
          <cell r="S259" t="str">
            <v>Administrativo</v>
          </cell>
        </row>
        <row r="260">
          <cell r="A260" t="str">
            <v>QYP1B79</v>
          </cell>
          <cell r="G260" t="str">
            <v xml:space="preserve">DIEGO ALENCAR </v>
          </cell>
          <cell r="S260" t="str">
            <v>FISCAL</v>
          </cell>
        </row>
        <row r="261">
          <cell r="A261" t="str">
            <v>RZR6B37</v>
          </cell>
          <cell r="G261" t="str">
            <v>MANUEL NETO</v>
          </cell>
          <cell r="S261" t="str">
            <v>Construção/Manutenção 6 Homens</v>
          </cell>
        </row>
        <row r="262">
          <cell r="A262" t="str">
            <v>RZR5J07</v>
          </cell>
          <cell r="G262" t="str">
            <v>MANUEL NETO</v>
          </cell>
          <cell r="S262" t="str">
            <v>Construção/Manutenção 6 Homens</v>
          </cell>
        </row>
        <row r="263">
          <cell r="A263" t="str">
            <v>QYG7A14</v>
          </cell>
          <cell r="G263" t="str">
            <v>MESSIAS ABREU</v>
          </cell>
          <cell r="S263" t="str">
            <v>Construção/Manutenção 6 Homens</v>
          </cell>
        </row>
        <row r="264">
          <cell r="A264" t="str">
            <v>ROU6D57</v>
          </cell>
          <cell r="G264" t="str">
            <v>MIKEIAS VELOSO</v>
          </cell>
          <cell r="S264" t="str">
            <v>Manutenção TAT sky 3h</v>
          </cell>
        </row>
        <row r="265">
          <cell r="A265" t="str">
            <v>RZT9H80</v>
          </cell>
          <cell r="G265" t="str">
            <v>GABRIEL DO CARMO</v>
          </cell>
          <cell r="S265" t="str">
            <v>Apoio a obras</v>
          </cell>
        </row>
        <row r="266">
          <cell r="A266" t="str">
            <v>PGW2G43</v>
          </cell>
          <cell r="G266" t="str">
            <v>JACKSON SOUZA</v>
          </cell>
          <cell r="S266" t="str">
            <v>Transporte de materiais para bases e obras</v>
          </cell>
        </row>
        <row r="267">
          <cell r="A267" t="str">
            <v>PGW2593</v>
          </cell>
          <cell r="G267" t="str">
            <v>JACKSON SOUZA</v>
          </cell>
          <cell r="S267" t="str">
            <v>Transporte de materiais para bases e obras</v>
          </cell>
        </row>
        <row r="268">
          <cell r="A268" t="str">
            <v>PEC0C23</v>
          </cell>
          <cell r="G268" t="str">
            <v>MIKEIAS VELOSO</v>
          </cell>
          <cell r="S268" t="str">
            <v>Construção/Manutenção 6 Homens</v>
          </cell>
        </row>
        <row r="269">
          <cell r="A269" t="str">
            <v>ROU6H94</v>
          </cell>
          <cell r="G269" t="str">
            <v>JOAO CLIMACO</v>
          </cell>
          <cell r="S269" t="str">
            <v>Poda mid sky</v>
          </cell>
        </row>
        <row r="270">
          <cell r="A270" t="str">
            <v>PEB5663</v>
          </cell>
          <cell r="G270" t="str">
            <v>THIAGO CORDEIRO</v>
          </cell>
          <cell r="S270" t="str">
            <v>Construção/Manutenção 6 Homens</v>
          </cell>
        </row>
        <row r="271">
          <cell r="A271" t="str">
            <v>SNQ1J42</v>
          </cell>
          <cell r="G271" t="str">
            <v>JOSIEL MENESES</v>
          </cell>
          <cell r="S271" t="str">
            <v>Construção Linha Morta 6 Homens - SPOT</v>
          </cell>
        </row>
        <row r="272">
          <cell r="A272" t="str">
            <v>PEB5673</v>
          </cell>
          <cell r="G272" t="str">
            <v>RAIMUNDO ALMEIDA</v>
          </cell>
          <cell r="S272" t="str">
            <v>Construção/Manutenção 6 Homens</v>
          </cell>
        </row>
        <row r="273">
          <cell r="A273" t="str">
            <v>PCG7765</v>
          </cell>
          <cell r="G273" t="str">
            <v>MARCELO SOARES</v>
          </cell>
          <cell r="S273" t="str">
            <v>Construção/Manutenção 6 Homens</v>
          </cell>
        </row>
        <row r="274">
          <cell r="A274" t="str">
            <v>PEB5623</v>
          </cell>
          <cell r="G274" t="str">
            <v>JOSIEL MENESES</v>
          </cell>
          <cell r="S274" t="str">
            <v>Construção Linha Morta 6 Homens - SPOT</v>
          </cell>
        </row>
        <row r="275">
          <cell r="A275" t="str">
            <v>PEB5613</v>
          </cell>
          <cell r="G275" t="str">
            <v>FRANCISCO ASSIS</v>
          </cell>
          <cell r="S275" t="str">
            <v>Construção/Manutenção 6 Homens</v>
          </cell>
        </row>
        <row r="276">
          <cell r="A276" t="str">
            <v>PEB5573</v>
          </cell>
          <cell r="G276" t="str">
            <v>GILSON</v>
          </cell>
          <cell r="S276" t="str">
            <v>Construção/Manutenção 6 Homens</v>
          </cell>
        </row>
        <row r="277">
          <cell r="A277" t="str">
            <v>PEA5933</v>
          </cell>
          <cell r="G277" t="str">
            <v>JACKSON SOUZA</v>
          </cell>
          <cell r="S277" t="str">
            <v>Transporte de materiais para bases e obras</v>
          </cell>
        </row>
        <row r="278">
          <cell r="A278" t="str">
            <v>PDZ2233</v>
          </cell>
          <cell r="G278" t="str">
            <v>MIKEIAS VELOSO</v>
          </cell>
          <cell r="S278" t="str">
            <v>Construção/Manutenção 6 Homens</v>
          </cell>
        </row>
        <row r="279">
          <cell r="A279" t="str">
            <v>PDY9293</v>
          </cell>
          <cell r="G279" t="str">
            <v>RAIMUNDO ALMEIDA</v>
          </cell>
          <cell r="S279" t="str">
            <v>Construção/Manutenção 6 Homens</v>
          </cell>
        </row>
        <row r="280">
          <cell r="A280" t="str">
            <v>PDY9283</v>
          </cell>
          <cell r="G280" t="str">
            <v>ZEZINHO</v>
          </cell>
          <cell r="S280" t="str">
            <v>Construção/Manutenção 6 Homens</v>
          </cell>
        </row>
        <row r="281">
          <cell r="A281" t="str">
            <v>PDY2H93</v>
          </cell>
          <cell r="G281" t="str">
            <v>RAIMUNDO ALMEIDA</v>
          </cell>
          <cell r="S281" t="str">
            <v>Construção/Manutenção 6 Homens</v>
          </cell>
        </row>
        <row r="282">
          <cell r="A282" t="str">
            <v>PDY2953</v>
          </cell>
          <cell r="G282" t="str">
            <v>RAIMUNDO ALMEIDA</v>
          </cell>
          <cell r="S282" t="str">
            <v>Construção/Manutenção 6 Homens</v>
          </cell>
        </row>
        <row r="283">
          <cell r="A283" t="str">
            <v>PDY2893</v>
          </cell>
          <cell r="G283" t="str">
            <v>MIKE</v>
          </cell>
          <cell r="S283" t="str">
            <v>Construção/Manutenção 6 Homens</v>
          </cell>
        </row>
        <row r="284">
          <cell r="A284" t="str">
            <v>PDY2583</v>
          </cell>
          <cell r="G284" t="str">
            <v>BATISTA</v>
          </cell>
          <cell r="S284" t="str">
            <v>Construção/Manutenção 6 Homens</v>
          </cell>
        </row>
        <row r="285">
          <cell r="A285" t="str">
            <v>PDQ1D56</v>
          </cell>
          <cell r="G285" t="e">
            <v>#N/A</v>
          </cell>
          <cell r="S285" t="str">
            <v>DESMOBILIZADO</v>
          </cell>
        </row>
        <row r="286">
          <cell r="A286" t="str">
            <v>PCH0215</v>
          </cell>
          <cell r="G286" t="str">
            <v>MANUEL NETO</v>
          </cell>
          <cell r="S286" t="str">
            <v>Construção/Manutenção 6 Homens</v>
          </cell>
        </row>
        <row r="287">
          <cell r="A287" t="str">
            <v>PEC0343</v>
          </cell>
          <cell r="G287" t="str">
            <v>MIKEIAS VELOSO</v>
          </cell>
          <cell r="S287" t="str">
            <v>Construção/Manutenção 6 Homens</v>
          </cell>
        </row>
        <row r="288">
          <cell r="A288" t="str">
            <v>ROU6E64</v>
          </cell>
          <cell r="G288" t="str">
            <v>MANUEL NETO</v>
          </cell>
          <cell r="S288" t="str">
            <v>Construção/Manutenção 6 Homens</v>
          </cell>
        </row>
        <row r="289">
          <cell r="A289" t="str">
            <v>PCA4297</v>
          </cell>
          <cell r="G289" t="str">
            <v>MIKEIAS VELOSO</v>
          </cell>
          <cell r="S289" t="str">
            <v>Construção/Manutenção 6 Homens</v>
          </cell>
        </row>
        <row r="290">
          <cell r="A290" t="str">
            <v>SAY9F26</v>
          </cell>
          <cell r="G290" t="str">
            <v>JOSIEL MENESES</v>
          </cell>
          <cell r="S290" t="str">
            <v>Construção Linha Morta 6 Homens - SPOT</v>
          </cell>
        </row>
        <row r="291">
          <cell r="A291" t="str">
            <v>ROU7A90</v>
          </cell>
          <cell r="G291" t="str">
            <v>WERBETH RODRIGUES</v>
          </cell>
          <cell r="S291" t="str">
            <v>Poda mid sky</v>
          </cell>
        </row>
        <row r="292">
          <cell r="A292" t="str">
            <v>ROU6E53</v>
          </cell>
          <cell r="G292" t="str">
            <v>MANUEL NETO</v>
          </cell>
          <cell r="S292" t="str">
            <v>Manutenção TAT sky 3h</v>
          </cell>
        </row>
        <row r="293">
          <cell r="A293" t="str">
            <v>PCF7927</v>
          </cell>
          <cell r="G293" t="str">
            <v>JOSIEL MENESES</v>
          </cell>
          <cell r="S293" t="str">
            <v>Construção Linha Morta 6 Homens - SPOT</v>
          </cell>
        </row>
        <row r="294">
          <cell r="A294" t="str">
            <v>POK8G72</v>
          </cell>
          <cell r="G294" t="str">
            <v>JOSIEL MENESES</v>
          </cell>
          <cell r="S294" t="str">
            <v>Construção Linha Morta 6 Homens - SPOT</v>
          </cell>
        </row>
        <row r="295">
          <cell r="A295" t="str">
            <v>SMP6C58</v>
          </cell>
          <cell r="G295" t="str">
            <v>MARCOS ALENCAR</v>
          </cell>
          <cell r="S295" t="str">
            <v>Plantão 16 Horas 4x4</v>
          </cell>
        </row>
        <row r="296">
          <cell r="A296" t="str">
            <v>RZL4E18</v>
          </cell>
          <cell r="G296" t="str">
            <v>MARCOS ALENCAR</v>
          </cell>
          <cell r="S296" t="str">
            <v>DESMOBILIZADO</v>
          </cell>
        </row>
        <row r="297">
          <cell r="A297" t="str">
            <v>SOD4F36</v>
          </cell>
          <cell r="G297" t="str">
            <v>JACKSON SOUZA</v>
          </cell>
          <cell r="S297" t="str">
            <v>Transporte de materiais para bases e obras</v>
          </cell>
        </row>
        <row r="298">
          <cell r="A298" t="str">
            <v>PEC0243</v>
          </cell>
          <cell r="G298" t="str">
            <v>MESSIAS ABREU</v>
          </cell>
          <cell r="S298" t="str">
            <v>Construção/Manutenção 6 Homens</v>
          </cell>
        </row>
        <row r="299">
          <cell r="A299" t="str">
            <v>PEB5643</v>
          </cell>
          <cell r="G299" t="str">
            <v xml:space="preserve">FROTA </v>
          </cell>
          <cell r="S299" t="str">
            <v>Construção/Manutenção 6 Homens</v>
          </cell>
        </row>
        <row r="300">
          <cell r="A300" t="str">
            <v>RZO6A28</v>
          </cell>
          <cell r="G300" t="str">
            <v>FRANCISCO ASSIS</v>
          </cell>
          <cell r="S300" t="str">
            <v>Poda mid sky</v>
          </cell>
        </row>
        <row r="301">
          <cell r="A301" t="str">
            <v>QYG9I76</v>
          </cell>
          <cell r="G301" t="str">
            <v>ERBERTH PEREIRA</v>
          </cell>
          <cell r="S301" t="str">
            <v>Construção/Manutenção 6 Homens</v>
          </cell>
        </row>
        <row r="302">
          <cell r="A302" t="str">
            <v>RZO3I38</v>
          </cell>
          <cell r="G302" t="str">
            <v>ERBERTH PEREIRA</v>
          </cell>
          <cell r="S302" t="str">
            <v>Apoio a Obras</v>
          </cell>
        </row>
        <row r="303">
          <cell r="A303" t="str">
            <v>SNQ1J62</v>
          </cell>
          <cell r="G303" t="str">
            <v>MANUEL NETO</v>
          </cell>
          <cell r="S303" t="str">
            <v>Construção/Manutenção 6 Homens</v>
          </cell>
        </row>
        <row r="304">
          <cell r="A304" t="str">
            <v>SNQ1J22</v>
          </cell>
          <cell r="G304" t="str">
            <v>EVERALDO NOGUEIRA</v>
          </cell>
          <cell r="S304" t="str">
            <v>Manutenção Linha Viva 4 Homens</v>
          </cell>
        </row>
        <row r="305">
          <cell r="A305" t="str">
            <v>ROA1A77</v>
          </cell>
          <cell r="G305" t="e">
            <v>#N/A</v>
          </cell>
          <cell r="S305" t="e">
            <v>#N/A</v>
          </cell>
        </row>
        <row r="306">
          <cell r="A306" t="str">
            <v>TGO6A31</v>
          </cell>
          <cell r="G306" t="str">
            <v xml:space="preserve">ARLISSON ROGERIO </v>
          </cell>
          <cell r="S306" t="str">
            <v>Plantão 16 Horas 4x4</v>
          </cell>
        </row>
        <row r="307">
          <cell r="A307" t="str">
            <v>SNS1F66</v>
          </cell>
          <cell r="G307" t="str">
            <v xml:space="preserve">LUIS AUGUSTO </v>
          </cell>
          <cell r="S307" t="str">
            <v>Ligação Nova Multi 4x4</v>
          </cell>
        </row>
        <row r="308">
          <cell r="A308" t="str">
            <v>SNS9J95</v>
          </cell>
          <cell r="G308" t="str">
            <v>MARCOS ALENCAR</v>
          </cell>
          <cell r="S308" t="str">
            <v>Ligação Nova Multi 4x4</v>
          </cell>
        </row>
        <row r="309">
          <cell r="A309" t="str">
            <v>SNS9J75</v>
          </cell>
          <cell r="G309" t="str">
            <v>DEILTON RIBEIRO</v>
          </cell>
          <cell r="S309" t="str">
            <v>Plantão 16 Horas 4x4</v>
          </cell>
        </row>
        <row r="310">
          <cell r="A310" t="str">
            <v>JCX0F54</v>
          </cell>
          <cell r="G310" t="str">
            <v>PAULO FERREIRA</v>
          </cell>
          <cell r="S310" t="str">
            <v>Ligação Nova Multi Leve</v>
          </cell>
        </row>
        <row r="311">
          <cell r="A311" t="str">
            <v>QYU4G17</v>
          </cell>
          <cell r="G311" t="e">
            <v>#N/A</v>
          </cell>
          <cell r="S311" t="str">
            <v>DESMOBILIZADO</v>
          </cell>
        </row>
        <row r="312">
          <cell r="A312" t="str">
            <v>SOQ2I63</v>
          </cell>
          <cell r="G312" t="str">
            <v>IDIALDO</v>
          </cell>
          <cell r="S312" t="str">
            <v>Administrativo</v>
          </cell>
        </row>
        <row r="313">
          <cell r="A313" t="str">
            <v>SNA7I86</v>
          </cell>
          <cell r="G313" t="str">
            <v>LUIS FILIPE</v>
          </cell>
          <cell r="S313" t="str">
            <v>Equipe de Inspecao (Picape Leve)</v>
          </cell>
        </row>
        <row r="314">
          <cell r="A314" t="str">
            <v>SOY0D90</v>
          </cell>
          <cell r="G314" t="str">
            <v>LUIS FILIPE</v>
          </cell>
          <cell r="S314" t="str">
            <v>Equipe de Inspecao (Picape Leve)</v>
          </cell>
        </row>
        <row r="315">
          <cell r="A315" t="str">
            <v>SOX6G76</v>
          </cell>
          <cell r="G315" t="str">
            <v>DEILTON RIBEIRO</v>
          </cell>
          <cell r="S315" t="str">
            <v>Corte e Religação (Seed Money)</v>
          </cell>
        </row>
        <row r="316">
          <cell r="A316" t="str">
            <v>SOY0A70</v>
          </cell>
          <cell r="G316" t="str">
            <v>LEONARDO ESTRELA</v>
          </cell>
          <cell r="S316" t="str">
            <v>Corte e Religação Leve</v>
          </cell>
        </row>
        <row r="317">
          <cell r="A317" t="str">
            <v>SOX8C96</v>
          </cell>
          <cell r="G317" t="str">
            <v xml:space="preserve">ARLISSON ROGERIO </v>
          </cell>
          <cell r="S317" t="str">
            <v>Corte e Religação (Seed Money)</v>
          </cell>
        </row>
        <row r="318">
          <cell r="A318" t="str">
            <v>SOY0B40</v>
          </cell>
          <cell r="G318" t="str">
            <v>LUIS FILIPE</v>
          </cell>
          <cell r="S318" t="str">
            <v>Equipe de Inspecao (Picape Leve)</v>
          </cell>
        </row>
        <row r="319">
          <cell r="A319" t="str">
            <v>SOX6F76</v>
          </cell>
          <cell r="G319" t="str">
            <v>MARCOS ALENCAR</v>
          </cell>
          <cell r="S319" t="str">
            <v>Corte e Religação Leve</v>
          </cell>
        </row>
        <row r="320">
          <cell r="A320" t="str">
            <v>SOX8B35</v>
          </cell>
          <cell r="G320" t="str">
            <v>MARCOS ALENCAR</v>
          </cell>
          <cell r="S320" t="str">
            <v>Corte e Religação Leve</v>
          </cell>
        </row>
        <row r="321">
          <cell r="A321" t="str">
            <v>SOX9I46</v>
          </cell>
          <cell r="G321" t="str">
            <v>PAULO FERREIRA</v>
          </cell>
          <cell r="S321" t="str">
            <v>Corte e Religação Leve</v>
          </cell>
        </row>
        <row r="322">
          <cell r="A322" t="str">
            <v>SOX8A85</v>
          </cell>
          <cell r="G322" t="str">
            <v>LUIS FILIPE</v>
          </cell>
          <cell r="S322" t="str">
            <v>Equipe de Inspecao (Picape Leve)</v>
          </cell>
        </row>
        <row r="323">
          <cell r="A323" t="str">
            <v>SOX8C56</v>
          </cell>
          <cell r="G323" t="str">
            <v>LEONARDO ESTRELA</v>
          </cell>
          <cell r="S323" t="str">
            <v>Corte e Religação Leve</v>
          </cell>
        </row>
        <row r="324">
          <cell r="A324" t="str">
            <v>SOX2G59</v>
          </cell>
          <cell r="G324" t="str">
            <v>LUIS FILIPE</v>
          </cell>
          <cell r="S324" t="str">
            <v>Equipe de Inspecao (Picape Leve)</v>
          </cell>
        </row>
        <row r="325">
          <cell r="A325" t="str">
            <v>SOX2C89</v>
          </cell>
          <cell r="G325" t="str">
            <v>PAULO FERREIRA</v>
          </cell>
          <cell r="S325" t="str">
            <v>Corte e Religação Leve</v>
          </cell>
        </row>
        <row r="326">
          <cell r="A326" t="str">
            <v>SOX2E59</v>
          </cell>
          <cell r="G326" t="str">
            <v>LUIS FILIPE</v>
          </cell>
          <cell r="S326" t="str">
            <v>Equipe de Inspecao (Picape Leve)</v>
          </cell>
        </row>
        <row r="327">
          <cell r="A327" t="str">
            <v>SOX0I57</v>
          </cell>
          <cell r="G327" t="str">
            <v>LUIS FILIPE</v>
          </cell>
          <cell r="S327" t="str">
            <v>Equipe de Inspecao (Picape Leve)</v>
          </cell>
        </row>
        <row r="328">
          <cell r="A328" t="str">
            <v>SOY0D20</v>
          </cell>
          <cell r="G328" t="str">
            <v>LUIS FILIPE</v>
          </cell>
          <cell r="S328" t="str">
            <v>Equipe de Inspecao (Picape Leve)</v>
          </cell>
        </row>
        <row r="329">
          <cell r="A329" t="str">
            <v>SOX7A75</v>
          </cell>
          <cell r="G329" t="str">
            <v>PABLO LOURA</v>
          </cell>
          <cell r="S329" t="str">
            <v>Manutenção de Equipamentos</v>
          </cell>
        </row>
        <row r="330">
          <cell r="A330" t="str">
            <v>SOX8G96</v>
          </cell>
          <cell r="G330" t="str">
            <v xml:space="preserve">ARLISSON ROGERIO </v>
          </cell>
          <cell r="S330" t="str">
            <v>Ligação Nova Multi Leve</v>
          </cell>
        </row>
        <row r="331">
          <cell r="A331" t="str">
            <v>SOX2G09</v>
          </cell>
          <cell r="G331" t="str">
            <v>PABLO LOURA</v>
          </cell>
          <cell r="S331" t="str">
            <v>Manutenção de Equipamentos</v>
          </cell>
        </row>
        <row r="332">
          <cell r="A332" t="str">
            <v>SOX8E25</v>
          </cell>
          <cell r="G332" t="str">
            <v>PABLO LOURA</v>
          </cell>
          <cell r="S332" t="str">
            <v>Equipes de Qualidade</v>
          </cell>
        </row>
        <row r="333">
          <cell r="A333" t="str">
            <v>SOY0E70</v>
          </cell>
          <cell r="G333" t="str">
            <v>LEONARDO ESTRELA</v>
          </cell>
          <cell r="S333" t="str">
            <v>Corte e Religação Leve</v>
          </cell>
        </row>
        <row r="334">
          <cell r="A334" t="str">
            <v>SOX8D75</v>
          </cell>
          <cell r="G334" t="str">
            <v>LUIS FILIPE</v>
          </cell>
          <cell r="S334" t="str">
            <v>Equipe de Inspecao (Picape Leve)</v>
          </cell>
        </row>
        <row r="335">
          <cell r="A335" t="str">
            <v>SOX9A06</v>
          </cell>
          <cell r="G335" t="str">
            <v xml:space="preserve">ARLISSON ROGERIO </v>
          </cell>
          <cell r="S335" t="str">
            <v>Corte e Religação (Seed Money)</v>
          </cell>
        </row>
        <row r="336">
          <cell r="A336" t="str">
            <v>SOY0E10</v>
          </cell>
          <cell r="G336" t="str">
            <v>LUIS FILIPE</v>
          </cell>
          <cell r="S336" t="str">
            <v>Equipe de Inspecao (Picape Leve)</v>
          </cell>
        </row>
        <row r="337">
          <cell r="A337" t="str">
            <v>SOX8C65</v>
          </cell>
          <cell r="G337" t="str">
            <v>MARCOS ALENCAR</v>
          </cell>
          <cell r="S337" t="str">
            <v>Corte e Religação (Seed Money)</v>
          </cell>
        </row>
        <row r="338">
          <cell r="A338" t="str">
            <v>SOX0G97</v>
          </cell>
          <cell r="G338" t="str">
            <v>MARCOS ALENCAR</v>
          </cell>
          <cell r="S338" t="str">
            <v>Corte e Religação Leve</v>
          </cell>
        </row>
        <row r="339">
          <cell r="A339" t="str">
            <v>SOX8C85</v>
          </cell>
          <cell r="G339" t="str">
            <v>LUIS FILIPE</v>
          </cell>
          <cell r="S339" t="str">
            <v>Equipe de Inspecao (Picape Leve)</v>
          </cell>
        </row>
        <row r="340">
          <cell r="A340" t="str">
            <v>SOX6G56</v>
          </cell>
          <cell r="G340" t="str">
            <v>DEILTON RIBEIRO</v>
          </cell>
          <cell r="S340" t="str">
            <v>Corte e Religação Leve</v>
          </cell>
        </row>
        <row r="341">
          <cell r="A341" t="str">
            <v>SOX8C26</v>
          </cell>
          <cell r="G341" t="str">
            <v>LUIS FILIPE</v>
          </cell>
          <cell r="S341" t="str">
            <v>Equipe de Inspecao (Picape Leve)</v>
          </cell>
        </row>
        <row r="342">
          <cell r="A342" t="str">
            <v>SOX6G06</v>
          </cell>
          <cell r="G342" t="str">
            <v>PABLO LOURA</v>
          </cell>
          <cell r="S342" t="str">
            <v>Manutenção de Equipamentos</v>
          </cell>
        </row>
        <row r="343">
          <cell r="A343" t="str">
            <v>SOX8E76</v>
          </cell>
          <cell r="G343" t="str">
            <v>LUIS FILIPE</v>
          </cell>
          <cell r="S343" t="str">
            <v>Equipe de Inspecao (Picape Leve)</v>
          </cell>
        </row>
        <row r="344">
          <cell r="A344" t="str">
            <v>SOX7D45</v>
          </cell>
          <cell r="G344" t="str">
            <v>DEILTON RIBEIRO</v>
          </cell>
          <cell r="S344" t="str">
            <v>Corte e Religação Leve</v>
          </cell>
        </row>
        <row r="345">
          <cell r="A345" t="str">
            <v>SOX2D89</v>
          </cell>
          <cell r="G345" t="str">
            <v>LUIS FILIPE</v>
          </cell>
          <cell r="S345" t="str">
            <v>Equipe de Inspecao (Picape Leve)</v>
          </cell>
        </row>
        <row r="346">
          <cell r="A346" t="str">
            <v>SOX2B59</v>
          </cell>
          <cell r="G346" t="str">
            <v>DEILTON RIBEIRO</v>
          </cell>
          <cell r="S346" t="str">
            <v>Corte e Religação (Seed Money)</v>
          </cell>
        </row>
        <row r="347">
          <cell r="A347" t="str">
            <v>SOX8F96</v>
          </cell>
          <cell r="G347" t="str">
            <v xml:space="preserve">ARLISSON ROGERIO </v>
          </cell>
          <cell r="S347" t="str">
            <v>Ligação Nova Multi Leve</v>
          </cell>
        </row>
        <row r="348">
          <cell r="A348" t="str">
            <v>SOY0C50</v>
          </cell>
          <cell r="G348" t="str">
            <v>LUIS FILIPE</v>
          </cell>
          <cell r="S348" t="str">
            <v>Equipe de Inspecao (Picape Leve)</v>
          </cell>
        </row>
        <row r="349">
          <cell r="A349" t="str">
            <v>SOX6G46</v>
          </cell>
          <cell r="G349" t="str">
            <v xml:space="preserve">ARLISSON ROGERIO </v>
          </cell>
          <cell r="S349" t="str">
            <v>Corte e Religação (Seed Money)</v>
          </cell>
        </row>
        <row r="350">
          <cell r="A350" t="str">
            <v>SOX2D99</v>
          </cell>
          <cell r="G350" t="str">
            <v>LUIS FILIPE</v>
          </cell>
          <cell r="S350" t="str">
            <v>Equipe de Inspecao (Picape Leve)</v>
          </cell>
        </row>
        <row r="351">
          <cell r="A351" t="str">
            <v>SOX2F19</v>
          </cell>
          <cell r="G351" t="str">
            <v>LUIS FILIPE</v>
          </cell>
          <cell r="S351" t="str">
            <v>Equipe de Inspecao (Picape Leve)</v>
          </cell>
        </row>
        <row r="352">
          <cell r="A352" t="str">
            <v>SOW8I17</v>
          </cell>
          <cell r="G352" t="str">
            <v>MARCOS ALENCAR</v>
          </cell>
          <cell r="S352" t="str">
            <v>Plantão 16 Horas 4x4</v>
          </cell>
        </row>
        <row r="353">
          <cell r="A353" t="str">
            <v>SOW9C97</v>
          </cell>
          <cell r="G353" t="str">
            <v>VALVICK SALES</v>
          </cell>
          <cell r="S353" t="str">
            <v>Administrativo</v>
          </cell>
        </row>
        <row r="354">
          <cell r="A354" t="str">
            <v>SOW9C37</v>
          </cell>
          <cell r="G354" t="str">
            <v>DANIEL SILVA</v>
          </cell>
          <cell r="S354" t="str">
            <v>Administrativo</v>
          </cell>
        </row>
        <row r="355">
          <cell r="A355" t="str">
            <v>SOW9A57</v>
          </cell>
          <cell r="G355" t="str">
            <v>DEILTON RIBEIRO</v>
          </cell>
          <cell r="S355" t="str">
            <v>Ligação Nova Multi 4x4</v>
          </cell>
        </row>
        <row r="356">
          <cell r="A356" t="str">
            <v>SOW9B27</v>
          </cell>
          <cell r="G356" t="str">
            <v>MARCOS ALENCAR</v>
          </cell>
          <cell r="S356" t="str">
            <v>Plantão 16 Horas 4x4</v>
          </cell>
        </row>
        <row r="357">
          <cell r="A357" t="str">
            <v>MUNCK001</v>
          </cell>
          <cell r="G357" t="e">
            <v>#N/A</v>
          </cell>
          <cell r="S357" t="str">
            <v>Construção Linha Morta 6 Homens - SPOT</v>
          </cell>
        </row>
        <row r="358">
          <cell r="A358" t="str">
            <v>MUNCK002</v>
          </cell>
          <cell r="G358" t="e">
            <v>#N/A</v>
          </cell>
          <cell r="S358" t="str">
            <v>Construção Linha Morta 6 Homens - SPOT</v>
          </cell>
        </row>
        <row r="359">
          <cell r="A359" t="str">
            <v>SOX8D05</v>
          </cell>
          <cell r="G359" t="str">
            <v xml:space="preserve">LUIS AUGUSTO </v>
          </cell>
          <cell r="S359" t="str">
            <v>Corte e Religação (Seed Money)</v>
          </cell>
        </row>
        <row r="360">
          <cell r="A360" t="str">
            <v>SOX8C05</v>
          </cell>
          <cell r="G360" t="str">
            <v>LUIS FILIPE</v>
          </cell>
          <cell r="S360" t="str">
            <v>Equipe de Inspecao (Picape Leve)</v>
          </cell>
        </row>
        <row r="361">
          <cell r="A361" t="str">
            <v>PED0343</v>
          </cell>
          <cell r="G361" t="str">
            <v>JOÃO CLIMACO</v>
          </cell>
          <cell r="S361" t="str">
            <v>Poda mid sky</v>
          </cell>
        </row>
        <row r="362">
          <cell r="A362" t="str">
            <v>ROU6E58</v>
          </cell>
          <cell r="G362" t="str">
            <v>FRANCISCO ASSIS</v>
          </cell>
          <cell r="S362" t="str">
            <v>Manutenção Linha Viva 4 Homens</v>
          </cell>
        </row>
        <row r="363">
          <cell r="A363" t="str">
            <v>TEY6A98</v>
          </cell>
          <cell r="G363" t="str">
            <v xml:space="preserve">ARLISSON ROGERIO </v>
          </cell>
          <cell r="S363" t="str">
            <v>Plantão Leve 8 Horas Trio Carro 4X4</v>
          </cell>
        </row>
        <row r="364">
          <cell r="A364" t="str">
            <v>TEY6A99</v>
          </cell>
          <cell r="G364" t="str">
            <v>DEILTON RIBEIRO</v>
          </cell>
          <cell r="S364" t="str">
            <v>Plantão Leve 8 Horas Trio Carro 4X4</v>
          </cell>
        </row>
        <row r="365">
          <cell r="A365" t="str">
            <v>TEY6B00</v>
          </cell>
          <cell r="G365" t="str">
            <v>DEILTON RIBEIRO</v>
          </cell>
          <cell r="S365" t="str">
            <v>Ligação Nova Multi 4x4</v>
          </cell>
        </row>
        <row r="366">
          <cell r="A366" t="str">
            <v>TEY6B01</v>
          </cell>
          <cell r="G366">
            <v>0</v>
          </cell>
          <cell r="S366">
            <v>0</v>
          </cell>
        </row>
        <row r="367">
          <cell r="A367" t="str">
            <v>TEY6B02</v>
          </cell>
          <cell r="G367" t="str">
            <v>RAIMUNDO ALMEIDA</v>
          </cell>
          <cell r="S367" t="str">
            <v>Apoio a Obras</v>
          </cell>
        </row>
        <row r="368">
          <cell r="A368" t="str">
            <v>TEY6B04</v>
          </cell>
          <cell r="G368" t="str">
            <v>LUIS FILIPE</v>
          </cell>
          <cell r="S368" t="str">
            <v>Equipe de Inspecao 4x4</v>
          </cell>
        </row>
        <row r="369">
          <cell r="A369" t="str">
            <v>TEY6B05</v>
          </cell>
          <cell r="G369">
            <v>0</v>
          </cell>
          <cell r="S369" t="str">
            <v>Reserva</v>
          </cell>
        </row>
        <row r="370">
          <cell r="A370" t="str">
            <v>TEY6B06</v>
          </cell>
          <cell r="G370" t="str">
            <v>MANOEL NETO</v>
          </cell>
          <cell r="S370" t="str">
            <v>Apoio a Obras</v>
          </cell>
        </row>
        <row r="371">
          <cell r="A371" t="str">
            <v>TEY6B09</v>
          </cell>
          <cell r="G371" t="str">
            <v>DEILTON RIBEIRO</v>
          </cell>
          <cell r="S371" t="str">
            <v>Plantão Leve 8 Horas Trio Carro 4X4</v>
          </cell>
        </row>
        <row r="372">
          <cell r="A372" t="str">
            <v>TEY6B11</v>
          </cell>
          <cell r="G372" t="str">
            <v>MARCOS ALENCAR</v>
          </cell>
          <cell r="S372" t="str">
            <v>Ligação Nova Multi 4x4</v>
          </cell>
        </row>
        <row r="373">
          <cell r="A373" t="str">
            <v>TEY6B12</v>
          </cell>
          <cell r="G373">
            <v>0</v>
          </cell>
          <cell r="S373">
            <v>0</v>
          </cell>
        </row>
        <row r="374">
          <cell r="A374" t="str">
            <v>TEY6B13</v>
          </cell>
          <cell r="G374" t="str">
            <v>PAULO FERREIRA</v>
          </cell>
          <cell r="S374">
            <v>0</v>
          </cell>
        </row>
        <row r="375">
          <cell r="A375" t="str">
            <v>TEY6B15</v>
          </cell>
          <cell r="G375" t="str">
            <v>DEILTON RIBEIRO</v>
          </cell>
          <cell r="S375" t="str">
            <v>Ligação Nova Multi 4x4</v>
          </cell>
        </row>
        <row r="376">
          <cell r="A376" t="str">
            <v>TEY6B16</v>
          </cell>
          <cell r="G376" t="str">
            <v>DEILTON RIBEIRO</v>
          </cell>
          <cell r="S376" t="str">
            <v>Ligação Nova Multi 4x4</v>
          </cell>
        </row>
        <row r="377">
          <cell r="A377" t="str">
            <v>TEY6B17</v>
          </cell>
          <cell r="G377" t="str">
            <v>LUIS FILIPE</v>
          </cell>
          <cell r="S377" t="str">
            <v>Equipe de Inspecao 4x4</v>
          </cell>
        </row>
        <row r="378">
          <cell r="A378" t="str">
            <v>TEY6B19</v>
          </cell>
          <cell r="G378">
            <v>0</v>
          </cell>
          <cell r="S378" t="str">
            <v>Reserva</v>
          </cell>
        </row>
        <row r="379">
          <cell r="A379" t="str">
            <v>TEY6B20</v>
          </cell>
          <cell r="G379" t="str">
            <v>DEILTON RIBEIRO</v>
          </cell>
          <cell r="S379" t="str">
            <v>Plantão Leve 8 Horas Trio Carro leve</v>
          </cell>
        </row>
        <row r="380">
          <cell r="A380" t="str">
            <v>TEY6B22</v>
          </cell>
          <cell r="G380">
            <v>0</v>
          </cell>
          <cell r="S380" t="str">
            <v>Reserva</v>
          </cell>
        </row>
        <row r="381">
          <cell r="A381" t="str">
            <v>TEY6B23</v>
          </cell>
          <cell r="G381" t="str">
            <v>DEILTON RIBEIRO</v>
          </cell>
          <cell r="S381" t="str">
            <v>Plantão Leve 8 Horas Trio Carro 4X4</v>
          </cell>
        </row>
        <row r="382">
          <cell r="A382" t="str">
            <v>TEY6B25</v>
          </cell>
          <cell r="G382" t="str">
            <v>THIAGO CORDEIRO</v>
          </cell>
          <cell r="S382" t="str">
            <v>Reserva</v>
          </cell>
        </row>
        <row r="383">
          <cell r="A383" t="str">
            <v>TEY6B27</v>
          </cell>
          <cell r="G383" t="str">
            <v>MARCOS ALENCAR</v>
          </cell>
          <cell r="S383" t="str">
            <v>Plantão Leve 8 Horas Trio Carro 4X4</v>
          </cell>
        </row>
        <row r="384">
          <cell r="A384" t="str">
            <v>TEY6B28</v>
          </cell>
          <cell r="G384" t="str">
            <v>PAULO FERREIRA</v>
          </cell>
          <cell r="S384" t="str">
            <v>Ligação Nova Multi 4x4</v>
          </cell>
        </row>
        <row r="385">
          <cell r="A385" t="str">
            <v>TEY6B30</v>
          </cell>
          <cell r="G385" t="str">
            <v>THIAGO CORDEIRO</v>
          </cell>
          <cell r="S385" t="str">
            <v>Reserva</v>
          </cell>
        </row>
        <row r="386">
          <cell r="A386" t="str">
            <v>TEY6B34</v>
          </cell>
          <cell r="G386" t="str">
            <v>DEILTON RIBEIRO</v>
          </cell>
          <cell r="S386" t="str">
            <v>Ligação Nova Multi 4x4</v>
          </cell>
        </row>
        <row r="387">
          <cell r="A387" t="str">
            <v>TEY6B35</v>
          </cell>
          <cell r="G387">
            <v>0</v>
          </cell>
          <cell r="S387">
            <v>0</v>
          </cell>
        </row>
      </sheetData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RUTURA (2)"/>
      <sheetName val="DADOS IMPLEMENTO - SKY"/>
      <sheetName val="DADOS IMPLEMENTO - MUNK"/>
      <sheetName val="TAGS "/>
      <sheetName val="Planilha2"/>
      <sheetName val="RELAÇÃO DE VEÍCULOS (2)"/>
      <sheetName val="RELAÇÃO DE VEÍCULOS"/>
      <sheetName val="ESTRUTURA"/>
      <sheetName val="Centro de Custo"/>
      <sheetName val="ESTRUTURA (3)"/>
      <sheetName val="VEICULOS DE SINISTROS 2026"/>
      <sheetName val="COMPARAÇÃO"/>
      <sheetName val="Planilha4"/>
      <sheetName val="IMPLEMENTOS"/>
      <sheetName val="MEDIDAS CAMINHÕES "/>
      <sheetName val="ESTRUTURA RESPONSÁVEIS"/>
      <sheetName val="Planilha3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cas Moreira" id="{9FA7A044-6111-4F89-BDA5-F99D9C2C612B}" userId="S::lucas.moreira@cgbengenharia.onmicrosoft.com::8fa15058-8442-4ca5-af5d-c13eae4d26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7" dT="2026-04-01T19:11:35.41" personId="{9FA7A044-6111-4F89-BDA5-F99D9C2C612B}" id="{5E21CB9E-6F20-4D67-91FB-3A539A9277F4}">
    <text>NOVA EQUIPE</text>
  </threadedComment>
  <threadedComment ref="E250" dT="2025-09-08T17:54:55.73" personId="{9FA7A044-6111-4F89-BDA5-F99D9C2C612B}" id="{D9AA0CD5-0C34-404F-836F-BE1724916049}">
    <text>Veiculos que foi cobrado o licenciamento em agosto.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F9297-65D2-44AB-8B89-DAA9E5BE59F4}">
  <dimension ref="B1:R416"/>
  <sheetViews>
    <sheetView tabSelected="1" topLeftCell="I1" zoomScale="85" zoomScaleNormal="85" workbookViewId="0">
      <pane ySplit="2" topLeftCell="A3" activePane="bottomLeft" state="frozen"/>
      <selection pane="bottomLeft" activeCell="K16" sqref="K16"/>
    </sheetView>
  </sheetViews>
  <sheetFormatPr defaultRowHeight="14.4" x14ac:dyDescent="0.3"/>
  <cols>
    <col min="1" max="1" width="4" customWidth="1"/>
    <col min="2" max="2" width="15.44140625" bestFit="1" customWidth="1"/>
    <col min="3" max="3" width="15.88671875" bestFit="1" customWidth="1"/>
    <col min="4" max="4" width="9.44140625" customWidth="1"/>
    <col min="5" max="5" width="25.44140625" customWidth="1"/>
    <col min="6" max="6" width="17.5546875" bestFit="1" customWidth="1"/>
    <col min="7" max="7" width="18.5546875" bestFit="1" customWidth="1"/>
    <col min="8" max="8" width="49" customWidth="1"/>
    <col min="9" max="9" width="44" bestFit="1" customWidth="1"/>
    <col min="10" max="13" width="16.6640625" bestFit="1" customWidth="1"/>
    <col min="14" max="14" width="46.109375" bestFit="1" customWidth="1"/>
    <col min="15" max="15" width="26.44140625" customWidth="1"/>
    <col min="16" max="16" width="14.6640625" bestFit="1" customWidth="1"/>
    <col min="17" max="17" width="23.33203125" bestFit="1" customWidth="1"/>
    <col min="18" max="18" width="13.88671875" customWidth="1"/>
  </cols>
  <sheetData>
    <row r="1" spans="2:18" ht="28.8" customHeight="1" x14ac:dyDescent="0.3">
      <c r="B1" s="1" t="s">
        <v>0</v>
      </c>
      <c r="C1" s="2">
        <f>SUBTOTAL(3,C3:C348)</f>
        <v>346</v>
      </c>
    </row>
    <row r="2" spans="2:18" ht="18" x14ac:dyDescent="0.3"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5" t="s">
        <v>10</v>
      </c>
      <c r="M2" s="6" t="s">
        <v>11</v>
      </c>
      <c r="N2" s="6" t="s">
        <v>12</v>
      </c>
      <c r="O2" s="7" t="s">
        <v>13</v>
      </c>
      <c r="P2" s="7" t="s">
        <v>14</v>
      </c>
      <c r="Q2" s="8" t="s">
        <v>15</v>
      </c>
      <c r="R2" s="8"/>
    </row>
    <row r="3" spans="2:18" x14ac:dyDescent="0.3">
      <c r="C3" s="2" t="s">
        <v>16</v>
      </c>
      <c r="D3" s="2">
        <v>2024</v>
      </c>
      <c r="E3" s="2" t="s">
        <v>17</v>
      </c>
      <c r="F3" s="2" t="s">
        <v>18</v>
      </c>
      <c r="G3" s="2" t="s">
        <v>19</v>
      </c>
      <c r="H3" s="9" t="s">
        <v>20</v>
      </c>
      <c r="I3" s="9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>
        <v>127</v>
      </c>
      <c r="P3" t="s">
        <v>27</v>
      </c>
      <c r="Q3" t="str">
        <f>_xlfn.XLOOKUP(C:C,'[1]ErberthPereira-targetlist(20260'!$D:$D,'[1]ErberthPereira-targetlist(20260'!$C:$C)</f>
        <v>350218700263548</v>
      </c>
    </row>
    <row r="4" spans="2:18" x14ac:dyDescent="0.3">
      <c r="C4" s="2" t="s">
        <v>28</v>
      </c>
      <c r="D4" s="2">
        <v>2024</v>
      </c>
      <c r="E4" s="2" t="s">
        <v>17</v>
      </c>
      <c r="F4" s="2" t="s">
        <v>18</v>
      </c>
      <c r="G4" s="2" t="s">
        <v>19</v>
      </c>
      <c r="H4" s="9" t="s">
        <v>29</v>
      </c>
      <c r="I4" s="9" t="s">
        <v>30</v>
      </c>
      <c r="J4" s="2" t="s">
        <v>22</v>
      </c>
      <c r="K4" s="2" t="s">
        <v>23</v>
      </c>
      <c r="L4" s="2" t="s">
        <v>24</v>
      </c>
      <c r="M4" s="2" t="s">
        <v>31</v>
      </c>
      <c r="N4" s="2" t="s">
        <v>26</v>
      </c>
      <c r="O4">
        <v>127</v>
      </c>
      <c r="P4" t="s">
        <v>27</v>
      </c>
      <c r="Q4" t="str">
        <f>_xlfn.XLOOKUP(C:C,'[1]ErberthPereira-targetlist(20260'!$D:$D,'[1]ErberthPereira-targetlist(20260'!$C:$C)</f>
        <v>350218700267713</v>
      </c>
    </row>
    <row r="5" spans="2:18" x14ac:dyDescent="0.3">
      <c r="C5" s="2" t="s">
        <v>32</v>
      </c>
      <c r="D5" s="2">
        <v>2024</v>
      </c>
      <c r="E5" s="2" t="s">
        <v>17</v>
      </c>
      <c r="F5" s="2" t="s">
        <v>18</v>
      </c>
      <c r="G5" s="2" t="s">
        <v>19</v>
      </c>
      <c r="H5" s="9" t="s">
        <v>33</v>
      </c>
      <c r="I5" s="9" t="s">
        <v>33</v>
      </c>
      <c r="J5" s="2" t="s">
        <v>34</v>
      </c>
      <c r="K5" s="2" t="s">
        <v>33</v>
      </c>
      <c r="L5" s="2" t="s">
        <v>24</v>
      </c>
      <c r="M5" s="2" t="s">
        <v>31</v>
      </c>
      <c r="N5" s="2" t="s">
        <v>35</v>
      </c>
      <c r="O5">
        <v>127</v>
      </c>
      <c r="P5" t="s">
        <v>36</v>
      </c>
      <c r="Q5" t="str">
        <f>_xlfn.XLOOKUP(C:C,'[1]ErberthPereira-targetlist(20260'!$D:$D,'[1]ErberthPereira-targetlist(20260'!$C:$C)</f>
        <v>350218700287562</v>
      </c>
    </row>
    <row r="6" spans="2:18" x14ac:dyDescent="0.3">
      <c r="C6" s="2" t="s">
        <v>37</v>
      </c>
      <c r="D6" s="2">
        <v>2024</v>
      </c>
      <c r="E6" s="2" t="s">
        <v>17</v>
      </c>
      <c r="F6" s="2" t="s">
        <v>18</v>
      </c>
      <c r="G6" s="2" t="s">
        <v>19</v>
      </c>
      <c r="H6" s="9" t="s">
        <v>38</v>
      </c>
      <c r="I6" s="9" t="s">
        <v>39</v>
      </c>
      <c r="J6" s="2" t="s">
        <v>40</v>
      </c>
      <c r="K6" s="2" t="s">
        <v>23</v>
      </c>
      <c r="L6" s="2" t="s">
        <v>41</v>
      </c>
      <c r="M6" s="2" t="s">
        <v>42</v>
      </c>
      <c r="N6" s="2" t="s">
        <v>43</v>
      </c>
      <c r="O6" s="10">
        <v>169</v>
      </c>
      <c r="P6" t="s">
        <v>44</v>
      </c>
      <c r="Q6" t="str">
        <f>_xlfn.XLOOKUP(C:C,'[1]ErberthPereira-targetlist(20260'!$D:$D,'[1]ErberthPereira-targetlist(20260'!$C:$C)</f>
        <v>350218700193323</v>
      </c>
    </row>
    <row r="7" spans="2:18" x14ac:dyDescent="0.3">
      <c r="C7" s="2" t="s">
        <v>45</v>
      </c>
      <c r="D7" s="2">
        <v>2024</v>
      </c>
      <c r="E7" s="2" t="s">
        <v>17</v>
      </c>
      <c r="F7" s="2" t="s">
        <v>18</v>
      </c>
      <c r="G7" s="2" t="s">
        <v>19</v>
      </c>
      <c r="H7" s="9" t="s">
        <v>46</v>
      </c>
      <c r="I7" s="9" t="s">
        <v>47</v>
      </c>
      <c r="J7" s="2" t="s">
        <v>34</v>
      </c>
      <c r="K7" s="2" t="s">
        <v>23</v>
      </c>
      <c r="L7" s="2" t="s">
        <v>24</v>
      </c>
      <c r="M7" s="2" t="s">
        <v>31</v>
      </c>
      <c r="N7" s="2" t="s">
        <v>26</v>
      </c>
      <c r="O7">
        <v>127</v>
      </c>
      <c r="P7" t="s">
        <v>27</v>
      </c>
      <c r="Q7" t="str">
        <f>_xlfn.XLOOKUP(C:C,'[1]ErberthPereira-targetlist(20260'!$D:$D,'[1]ErberthPereira-targetlist(20260'!$C:$C)</f>
        <v>350218700011418</v>
      </c>
    </row>
    <row r="8" spans="2:18" x14ac:dyDescent="0.3">
      <c r="C8" s="2" t="s">
        <v>48</v>
      </c>
      <c r="D8" s="2">
        <v>2023</v>
      </c>
      <c r="E8" s="2" t="s">
        <v>17</v>
      </c>
      <c r="F8" s="2" t="s">
        <v>18</v>
      </c>
      <c r="G8" s="2" t="s">
        <v>19</v>
      </c>
      <c r="H8" s="9" t="s">
        <v>49</v>
      </c>
      <c r="I8" s="9" t="s">
        <v>50</v>
      </c>
      <c r="J8" s="2" t="s">
        <v>40</v>
      </c>
      <c r="K8" s="2" t="s">
        <v>51</v>
      </c>
      <c r="L8" s="2" t="s">
        <v>41</v>
      </c>
      <c r="M8" s="2" t="s">
        <v>42</v>
      </c>
      <c r="N8" s="2" t="s">
        <v>52</v>
      </c>
      <c r="O8" s="10">
        <v>169</v>
      </c>
      <c r="P8" t="s">
        <v>44</v>
      </c>
      <c r="Q8" t="str">
        <f>_xlfn.XLOOKUP(C:C,'[1]ErberthPereira-targetlist(20260'!$D:$D,'[1]ErberthPereira-targetlist(20260'!$C:$C)</f>
        <v>350218700179876</v>
      </c>
    </row>
    <row r="9" spans="2:18" x14ac:dyDescent="0.3">
      <c r="C9" s="2" t="s">
        <v>53</v>
      </c>
      <c r="D9" s="2">
        <v>2023</v>
      </c>
      <c r="E9" s="2" t="s">
        <v>17</v>
      </c>
      <c r="F9" s="2" t="s">
        <v>18</v>
      </c>
      <c r="G9" s="2" t="s">
        <v>19</v>
      </c>
      <c r="H9" s="9" t="s">
        <v>54</v>
      </c>
      <c r="I9" s="9" t="s">
        <v>39</v>
      </c>
      <c r="J9" s="2" t="s">
        <v>34</v>
      </c>
      <c r="K9" s="2" t="s">
        <v>23</v>
      </c>
      <c r="L9" s="2" t="s">
        <v>41</v>
      </c>
      <c r="M9" s="2" t="s">
        <v>42</v>
      </c>
      <c r="N9" s="2" t="s">
        <v>55</v>
      </c>
      <c r="O9" s="10">
        <v>169</v>
      </c>
      <c r="P9" t="s">
        <v>44</v>
      </c>
      <c r="Q9" t="str">
        <f>_xlfn.XLOOKUP(C:C,'[1]ErberthPereira-targetlist(20260'!$D:$D,'[1]ErberthPereira-targetlist(20260'!$C:$C)</f>
        <v>350218700269024</v>
      </c>
    </row>
    <row r="10" spans="2:18" x14ac:dyDescent="0.3">
      <c r="C10" s="2" t="s">
        <v>56</v>
      </c>
      <c r="D10" s="2">
        <v>2023</v>
      </c>
      <c r="E10" s="2" t="s">
        <v>17</v>
      </c>
      <c r="F10" s="2" t="s">
        <v>18</v>
      </c>
      <c r="G10" s="2" t="s">
        <v>19</v>
      </c>
      <c r="H10" s="9" t="s">
        <v>57</v>
      </c>
      <c r="I10" s="9" t="s">
        <v>39</v>
      </c>
      <c r="J10" s="2" t="s">
        <v>34</v>
      </c>
      <c r="K10" s="2" t="s">
        <v>23</v>
      </c>
      <c r="L10" s="2" t="s">
        <v>41</v>
      </c>
      <c r="M10" s="2" t="s">
        <v>42</v>
      </c>
      <c r="N10" s="2" t="s">
        <v>55</v>
      </c>
      <c r="O10" s="10">
        <v>169</v>
      </c>
      <c r="P10" t="s">
        <v>44</v>
      </c>
      <c r="Q10" t="str">
        <f>_xlfn.XLOOKUP(C:C,'[1]ErberthPereira-targetlist(20260'!$D:$D,'[1]ErberthPereira-targetlist(20260'!$C:$C)</f>
        <v>350218700110145</v>
      </c>
    </row>
    <row r="11" spans="2:18" x14ac:dyDescent="0.3">
      <c r="C11" s="2" t="s">
        <v>58</v>
      </c>
      <c r="D11" s="2">
        <v>2023</v>
      </c>
      <c r="E11" s="2" t="s">
        <v>17</v>
      </c>
      <c r="F11" s="2" t="s">
        <v>18</v>
      </c>
      <c r="G11" s="2" t="s">
        <v>19</v>
      </c>
      <c r="H11" s="9" t="s">
        <v>59</v>
      </c>
      <c r="I11" s="9" t="s">
        <v>60</v>
      </c>
      <c r="J11" s="2" t="s">
        <v>40</v>
      </c>
      <c r="K11" s="2" t="s">
        <v>23</v>
      </c>
      <c r="L11" s="2" t="s">
        <v>61</v>
      </c>
      <c r="M11" s="2" t="s">
        <v>62</v>
      </c>
      <c r="N11" s="2" t="s">
        <v>63</v>
      </c>
      <c r="O11" s="10">
        <v>169</v>
      </c>
      <c r="P11" t="s">
        <v>64</v>
      </c>
      <c r="Q11" t="str">
        <f>_xlfn.XLOOKUP(C:C,'[1]ErberthPereira-targetlist(20260'!$D:$D,'[1]ErberthPereira-targetlist(20260'!$C:$C)</f>
        <v>350218700278546</v>
      </c>
    </row>
    <row r="12" spans="2:18" x14ac:dyDescent="0.3">
      <c r="C12" s="2" t="s">
        <v>65</v>
      </c>
      <c r="D12" s="2">
        <v>2023</v>
      </c>
      <c r="E12" s="2" t="s">
        <v>17</v>
      </c>
      <c r="F12" s="2" t="s">
        <v>18</v>
      </c>
      <c r="G12" s="2" t="s">
        <v>19</v>
      </c>
      <c r="H12" s="9" t="s">
        <v>33</v>
      </c>
      <c r="I12" s="9" t="s">
        <v>30</v>
      </c>
      <c r="J12" s="2" t="s">
        <v>22</v>
      </c>
      <c r="K12" s="2" t="s">
        <v>33</v>
      </c>
      <c r="L12" s="2" t="s">
        <v>24</v>
      </c>
      <c r="M12" s="2" t="s">
        <v>31</v>
      </c>
      <c r="N12" s="2" t="s">
        <v>66</v>
      </c>
      <c r="O12">
        <v>127</v>
      </c>
      <c r="P12" t="s">
        <v>27</v>
      </c>
      <c r="Q12" t="str">
        <f>_xlfn.XLOOKUP(C:C,'[1]ErberthPereira-targetlist(20260'!$D:$D,'[1]ErberthPereira-targetlist(20260'!$C:$C)</f>
        <v>350218700000130</v>
      </c>
    </row>
    <row r="13" spans="2:18" x14ac:dyDescent="0.3">
      <c r="C13" s="2" t="s">
        <v>67</v>
      </c>
      <c r="D13" s="2">
        <v>2023</v>
      </c>
      <c r="E13" s="2" t="s">
        <v>17</v>
      </c>
      <c r="F13" s="2" t="s">
        <v>18</v>
      </c>
      <c r="G13" s="2" t="s">
        <v>19</v>
      </c>
      <c r="H13" s="9" t="s">
        <v>33</v>
      </c>
      <c r="I13" s="9" t="s">
        <v>30</v>
      </c>
      <c r="J13" s="2" t="s">
        <v>22</v>
      </c>
      <c r="K13" s="2" t="s">
        <v>33</v>
      </c>
      <c r="L13" s="2" t="s">
        <v>24</v>
      </c>
      <c r="M13" s="2" t="s">
        <v>31</v>
      </c>
      <c r="N13" s="2" t="s">
        <v>68</v>
      </c>
      <c r="O13">
        <v>127</v>
      </c>
      <c r="P13" t="s">
        <v>69</v>
      </c>
      <c r="Q13" t="str">
        <f>_xlfn.XLOOKUP(C:C,'[1]ErberthPereira-targetlist(20260'!$D:$D,'[1]ErberthPereira-targetlist(20260'!$C:$C)</f>
        <v>350218700130432</v>
      </c>
    </row>
    <row r="14" spans="2:18" x14ac:dyDescent="0.3">
      <c r="C14" s="2" t="s">
        <v>70</v>
      </c>
      <c r="D14" s="2">
        <v>2023</v>
      </c>
      <c r="E14" s="2" t="s">
        <v>71</v>
      </c>
      <c r="F14" s="2" t="s">
        <v>72</v>
      </c>
      <c r="G14" s="2" t="s">
        <v>19</v>
      </c>
      <c r="H14" s="9" t="s">
        <v>59</v>
      </c>
      <c r="I14" s="9" t="s">
        <v>73</v>
      </c>
      <c r="J14" s="2" t="s">
        <v>22</v>
      </c>
      <c r="K14" s="2" t="s">
        <v>23</v>
      </c>
      <c r="L14" s="2" t="s">
        <v>61</v>
      </c>
      <c r="M14" s="2" t="s">
        <v>74</v>
      </c>
      <c r="N14" s="2" t="s">
        <v>63</v>
      </c>
      <c r="O14">
        <v>127</v>
      </c>
      <c r="P14" t="s">
        <v>75</v>
      </c>
      <c r="Q14" t="str">
        <f>_xlfn.XLOOKUP(C:C,'[1]ErberthPereira-targetlist(20260'!$D:$D,'[1]ErberthPereira-targetlist(20260'!$C:$C)</f>
        <v>350218700165370</v>
      </c>
    </row>
    <row r="15" spans="2:18" x14ac:dyDescent="0.3">
      <c r="C15" s="2" t="s">
        <v>76</v>
      </c>
      <c r="D15" s="2">
        <v>2023</v>
      </c>
      <c r="E15" s="2" t="s">
        <v>17</v>
      </c>
      <c r="F15" s="2" t="s">
        <v>18</v>
      </c>
      <c r="G15" s="2" t="s">
        <v>19</v>
      </c>
      <c r="H15" s="9" t="s">
        <v>33</v>
      </c>
      <c r="I15" s="9" t="s">
        <v>39</v>
      </c>
      <c r="J15" s="2" t="s">
        <v>40</v>
      </c>
      <c r="K15" s="2" t="s">
        <v>33</v>
      </c>
      <c r="L15" s="2" t="s">
        <v>41</v>
      </c>
      <c r="M15" s="2" t="s">
        <v>42</v>
      </c>
      <c r="N15" s="2" t="s">
        <v>77</v>
      </c>
      <c r="O15" s="10">
        <v>169</v>
      </c>
      <c r="P15" t="s">
        <v>44</v>
      </c>
      <c r="Q15" t="str">
        <f>_xlfn.XLOOKUP(C:C,'[1]ErberthPereira-targetlist(20260'!$D:$D,'[1]ErberthPereira-targetlist(20260'!$C:$C)</f>
        <v>350218700115763</v>
      </c>
    </row>
    <row r="16" spans="2:18" x14ac:dyDescent="0.3">
      <c r="C16" s="2" t="s">
        <v>78</v>
      </c>
      <c r="D16" s="2">
        <v>2023</v>
      </c>
      <c r="E16" s="2" t="s">
        <v>17</v>
      </c>
      <c r="F16" s="2" t="s">
        <v>18</v>
      </c>
      <c r="G16" s="2" t="s">
        <v>19</v>
      </c>
      <c r="H16" s="9" t="s">
        <v>79</v>
      </c>
      <c r="I16" s="9" t="s">
        <v>39</v>
      </c>
      <c r="J16" s="2" t="s">
        <v>80</v>
      </c>
      <c r="K16" s="2" t="s">
        <v>23</v>
      </c>
      <c r="L16" s="2" t="s">
        <v>41</v>
      </c>
      <c r="M16" s="2" t="s">
        <v>42</v>
      </c>
      <c r="N16" s="2" t="s">
        <v>55</v>
      </c>
      <c r="O16" s="10">
        <v>169</v>
      </c>
      <c r="P16" t="s">
        <v>44</v>
      </c>
      <c r="Q16" t="str">
        <f>_xlfn.XLOOKUP(C:C,'[1]ErberthPereira-targetlist(20260'!$D:$D,'[1]ErberthPereira-targetlist(20260'!$C:$C)</f>
        <v>350218700007226</v>
      </c>
    </row>
    <row r="17" spans="3:17" x14ac:dyDescent="0.3">
      <c r="C17" s="2" t="s">
        <v>81</v>
      </c>
      <c r="D17" s="2">
        <v>2023</v>
      </c>
      <c r="E17" s="2" t="s">
        <v>17</v>
      </c>
      <c r="F17" s="2" t="s">
        <v>18</v>
      </c>
      <c r="G17" s="2" t="s">
        <v>19</v>
      </c>
      <c r="H17" s="9" t="s">
        <v>82</v>
      </c>
      <c r="I17" s="9" t="s">
        <v>39</v>
      </c>
      <c r="J17" s="2" t="s">
        <v>34</v>
      </c>
      <c r="K17" s="2" t="s">
        <v>23</v>
      </c>
      <c r="L17" s="2" t="s">
        <v>41</v>
      </c>
      <c r="M17" s="2" t="s">
        <v>42</v>
      </c>
      <c r="N17" s="2" t="s">
        <v>55</v>
      </c>
      <c r="O17" s="10">
        <v>169</v>
      </c>
      <c r="P17" t="s">
        <v>44</v>
      </c>
      <c r="Q17" t="str">
        <f>_xlfn.XLOOKUP(C:C,'[1]ErberthPereira-targetlist(20260'!$D:$D,'[1]ErberthPereira-targetlist(20260'!$C:$C)</f>
        <v>350218700272101</v>
      </c>
    </row>
    <row r="18" spans="3:17" x14ac:dyDescent="0.3">
      <c r="C18" s="2" t="s">
        <v>83</v>
      </c>
      <c r="D18" s="2">
        <v>2023</v>
      </c>
      <c r="E18" s="2" t="s">
        <v>17</v>
      </c>
      <c r="F18" s="2" t="s">
        <v>18</v>
      </c>
      <c r="G18" s="2" t="s">
        <v>19</v>
      </c>
      <c r="H18" s="9" t="s">
        <v>84</v>
      </c>
      <c r="I18" s="9" t="s">
        <v>39</v>
      </c>
      <c r="J18" s="2" t="s">
        <v>80</v>
      </c>
      <c r="K18" s="2" t="s">
        <v>23</v>
      </c>
      <c r="L18" s="2" t="s">
        <v>41</v>
      </c>
      <c r="M18" s="2" t="s">
        <v>42</v>
      </c>
      <c r="N18" s="2" t="s">
        <v>55</v>
      </c>
      <c r="O18" s="10">
        <v>169</v>
      </c>
      <c r="P18" t="s">
        <v>44</v>
      </c>
      <c r="Q18" t="str">
        <f>_xlfn.XLOOKUP(C:C,'[1]ErberthPereira-targetlist(20260'!$D:$D,'[1]ErberthPereira-targetlist(20260'!$C:$C)</f>
        <v>350218700214772</v>
      </c>
    </row>
    <row r="19" spans="3:17" x14ac:dyDescent="0.3">
      <c r="C19" s="2" t="s">
        <v>85</v>
      </c>
      <c r="D19" s="2">
        <v>2023</v>
      </c>
      <c r="E19" s="2" t="s">
        <v>17</v>
      </c>
      <c r="F19" s="2" t="s">
        <v>18</v>
      </c>
      <c r="G19" s="2" t="s">
        <v>19</v>
      </c>
      <c r="H19" s="9" t="s">
        <v>86</v>
      </c>
      <c r="I19" s="9" t="s">
        <v>39</v>
      </c>
      <c r="J19" s="2" t="s">
        <v>80</v>
      </c>
      <c r="K19" s="2" t="s">
        <v>23</v>
      </c>
      <c r="L19" s="2" t="s">
        <v>41</v>
      </c>
      <c r="M19" s="2" t="s">
        <v>42</v>
      </c>
      <c r="N19" s="2" t="s">
        <v>55</v>
      </c>
      <c r="O19" s="10">
        <v>169</v>
      </c>
      <c r="P19" t="s">
        <v>44</v>
      </c>
      <c r="Q19" t="str">
        <f>_xlfn.XLOOKUP(C:C,'[1]ErberthPereira-targetlist(20260'!$D:$D,'[1]ErberthPereira-targetlist(20260'!$C:$C)</f>
        <v>350218700015682</v>
      </c>
    </row>
    <row r="20" spans="3:17" x14ac:dyDescent="0.3">
      <c r="C20" s="2" t="s">
        <v>87</v>
      </c>
      <c r="D20" s="2">
        <v>2023</v>
      </c>
      <c r="E20" s="2" t="s">
        <v>17</v>
      </c>
      <c r="F20" s="2" t="s">
        <v>18</v>
      </c>
      <c r="G20" s="2" t="s">
        <v>19</v>
      </c>
      <c r="H20" s="9" t="s">
        <v>88</v>
      </c>
      <c r="I20" s="9" t="s">
        <v>39</v>
      </c>
      <c r="J20" s="2" t="s">
        <v>22</v>
      </c>
      <c r="K20" s="2" t="s">
        <v>23</v>
      </c>
      <c r="L20" s="2" t="s">
        <v>41</v>
      </c>
      <c r="M20" s="2" t="s">
        <v>42</v>
      </c>
      <c r="N20" s="2" t="s">
        <v>55</v>
      </c>
      <c r="O20" s="10">
        <v>169</v>
      </c>
      <c r="P20" t="s">
        <v>44</v>
      </c>
      <c r="Q20" t="str">
        <f>_xlfn.XLOOKUP(C:C,'[1]ErberthPereira-targetlist(20260'!$D:$D,'[1]ErberthPereira-targetlist(20260'!$C:$C)</f>
        <v>350218700272614</v>
      </c>
    </row>
    <row r="21" spans="3:17" x14ac:dyDescent="0.3">
      <c r="C21" s="2" t="s">
        <v>89</v>
      </c>
      <c r="D21" s="2">
        <v>2023</v>
      </c>
      <c r="E21" s="2" t="s">
        <v>17</v>
      </c>
      <c r="F21" s="2" t="s">
        <v>18</v>
      </c>
      <c r="G21" s="2" t="s">
        <v>19</v>
      </c>
      <c r="H21" s="9" t="s">
        <v>90</v>
      </c>
      <c r="I21" s="9" t="s">
        <v>39</v>
      </c>
      <c r="J21" s="2" t="s">
        <v>40</v>
      </c>
      <c r="K21" s="2" t="s">
        <v>23</v>
      </c>
      <c r="L21" s="2" t="s">
        <v>41</v>
      </c>
      <c r="M21" s="2" t="s">
        <v>42</v>
      </c>
      <c r="N21" s="2" t="s">
        <v>55</v>
      </c>
      <c r="O21" s="10">
        <v>169</v>
      </c>
      <c r="P21" t="s">
        <v>44</v>
      </c>
      <c r="Q21" t="str">
        <f>_xlfn.XLOOKUP(C:C,'[1]ErberthPereira-targetlist(20260'!$D:$D,'[1]ErberthPereira-targetlist(20260'!$C:$C)</f>
        <v>350218700251584</v>
      </c>
    </row>
    <row r="22" spans="3:17" x14ac:dyDescent="0.3">
      <c r="C22" s="2" t="s">
        <v>91</v>
      </c>
      <c r="D22" s="2">
        <v>2023</v>
      </c>
      <c r="E22" s="2" t="s">
        <v>17</v>
      </c>
      <c r="F22" s="2" t="s">
        <v>18</v>
      </c>
      <c r="G22" s="2" t="s">
        <v>19</v>
      </c>
      <c r="H22" s="9" t="s">
        <v>33</v>
      </c>
      <c r="I22" s="9" t="s">
        <v>39</v>
      </c>
      <c r="J22" s="2" t="s">
        <v>34</v>
      </c>
      <c r="K22" s="2" t="s">
        <v>33</v>
      </c>
      <c r="L22" s="2" t="s">
        <v>41</v>
      </c>
      <c r="M22" s="2" t="s">
        <v>42</v>
      </c>
      <c r="N22" s="2" t="s">
        <v>92</v>
      </c>
      <c r="O22" s="10">
        <v>169</v>
      </c>
      <c r="P22" t="s">
        <v>44</v>
      </c>
      <c r="Q22" t="str">
        <f>_xlfn.XLOOKUP(C:C,'[1]ErberthPereira-targetlist(20260'!$D:$D,'[1]ErberthPereira-targetlist(20260'!$C:$C)</f>
        <v>350218700017175</v>
      </c>
    </row>
    <row r="23" spans="3:17" x14ac:dyDescent="0.3">
      <c r="C23" s="2" t="s">
        <v>93</v>
      </c>
      <c r="D23" s="2">
        <v>2023</v>
      </c>
      <c r="E23" s="2" t="s">
        <v>17</v>
      </c>
      <c r="F23" s="2" t="s">
        <v>18</v>
      </c>
      <c r="G23" s="2" t="s">
        <v>19</v>
      </c>
      <c r="H23" s="9" t="s">
        <v>33</v>
      </c>
      <c r="I23" s="9" t="s">
        <v>39</v>
      </c>
      <c r="J23" s="2" t="s">
        <v>34</v>
      </c>
      <c r="K23" s="2" t="s">
        <v>33</v>
      </c>
      <c r="L23" s="2" t="s">
        <v>41</v>
      </c>
      <c r="M23" s="2" t="s">
        <v>42</v>
      </c>
      <c r="N23" s="2" t="s">
        <v>92</v>
      </c>
      <c r="O23" s="10">
        <v>169</v>
      </c>
      <c r="P23" t="s">
        <v>44</v>
      </c>
      <c r="Q23" t="str">
        <f>_xlfn.XLOOKUP(C:C,'[1]ErberthPereira-targetlist(20260'!$D:$D,'[1]ErberthPereira-targetlist(20260'!$C:$C)</f>
        <v>350218700016128</v>
      </c>
    </row>
    <row r="24" spans="3:17" x14ac:dyDescent="0.3">
      <c r="C24" s="2" t="s">
        <v>94</v>
      </c>
      <c r="D24" s="2">
        <v>2023</v>
      </c>
      <c r="E24" s="2" t="s">
        <v>17</v>
      </c>
      <c r="F24" s="2" t="s">
        <v>18</v>
      </c>
      <c r="G24" s="2" t="s">
        <v>19</v>
      </c>
      <c r="H24" s="9" t="s">
        <v>95</v>
      </c>
      <c r="I24" s="9" t="s">
        <v>39</v>
      </c>
      <c r="J24" s="2" t="s">
        <v>80</v>
      </c>
      <c r="K24" s="2" t="s">
        <v>23</v>
      </c>
      <c r="L24" s="2" t="s">
        <v>41</v>
      </c>
      <c r="M24" s="2" t="s">
        <v>42</v>
      </c>
      <c r="N24" s="2" t="s">
        <v>96</v>
      </c>
      <c r="O24" s="10">
        <v>169</v>
      </c>
      <c r="P24" t="s">
        <v>44</v>
      </c>
      <c r="Q24" t="str">
        <f>_xlfn.XLOOKUP(C:C,'[1]ErberthPereira-targetlist(20260'!$D:$D,'[1]ErberthPereira-targetlist(20260'!$C:$C)</f>
        <v>350218700015484</v>
      </c>
    </row>
    <row r="25" spans="3:17" x14ac:dyDescent="0.3">
      <c r="C25" s="2" t="s">
        <v>97</v>
      </c>
      <c r="D25" s="2">
        <v>2023</v>
      </c>
      <c r="E25" s="2" t="s">
        <v>17</v>
      </c>
      <c r="F25" s="2" t="s">
        <v>18</v>
      </c>
      <c r="G25" s="2" t="s">
        <v>19</v>
      </c>
      <c r="H25" s="9" t="s">
        <v>49</v>
      </c>
      <c r="I25" s="9" t="s">
        <v>39</v>
      </c>
      <c r="J25" s="2" t="s">
        <v>80</v>
      </c>
      <c r="K25" s="2" t="s">
        <v>51</v>
      </c>
      <c r="L25" s="2" t="s">
        <v>41</v>
      </c>
      <c r="M25" s="2" t="s">
        <v>42</v>
      </c>
      <c r="N25" s="2" t="s">
        <v>52</v>
      </c>
      <c r="O25" s="10">
        <v>169</v>
      </c>
      <c r="P25" t="s">
        <v>44</v>
      </c>
      <c r="Q25" t="str">
        <f>_xlfn.XLOOKUP(C:C,'[1]ErberthPereira-targetlist(20260'!$D:$D,'[1]ErberthPereira-targetlist(20260'!$C:$C)</f>
        <v>350218700278272</v>
      </c>
    </row>
    <row r="26" spans="3:17" x14ac:dyDescent="0.3">
      <c r="C26" s="2" t="s">
        <v>98</v>
      </c>
      <c r="D26" s="2">
        <v>2023</v>
      </c>
      <c r="E26" s="2" t="s">
        <v>17</v>
      </c>
      <c r="F26" s="2" t="s">
        <v>18</v>
      </c>
      <c r="G26" s="2" t="s">
        <v>19</v>
      </c>
      <c r="H26" s="9" t="s">
        <v>49</v>
      </c>
      <c r="I26" s="9" t="s">
        <v>99</v>
      </c>
      <c r="J26" s="2" t="s">
        <v>34</v>
      </c>
      <c r="K26" s="2" t="s">
        <v>51</v>
      </c>
      <c r="L26" s="2" t="s">
        <v>41</v>
      </c>
      <c r="M26" s="2" t="s">
        <v>42</v>
      </c>
      <c r="N26" s="2" t="s">
        <v>52</v>
      </c>
      <c r="O26" s="10">
        <v>169</v>
      </c>
      <c r="P26" t="s">
        <v>44</v>
      </c>
      <c r="Q26" t="str">
        <f>_xlfn.XLOOKUP(C:C,'[1]ErberthPereira-targetlist(20260'!$D:$D,'[1]ErberthPereira-targetlist(20260'!$C:$C)</f>
        <v>350218700017829</v>
      </c>
    </row>
    <row r="27" spans="3:17" x14ac:dyDescent="0.3">
      <c r="C27" s="2" t="s">
        <v>100</v>
      </c>
      <c r="D27" s="2">
        <v>2023</v>
      </c>
      <c r="E27" s="2" t="s">
        <v>17</v>
      </c>
      <c r="F27" s="2" t="s">
        <v>18</v>
      </c>
      <c r="G27" s="2" t="s">
        <v>19</v>
      </c>
      <c r="H27" s="11" t="s">
        <v>101</v>
      </c>
      <c r="I27" s="9" t="s">
        <v>39</v>
      </c>
      <c r="J27" s="2" t="s">
        <v>34</v>
      </c>
      <c r="K27" s="2" t="s">
        <v>33</v>
      </c>
      <c r="L27" s="2" t="s">
        <v>41</v>
      </c>
      <c r="M27" s="2" t="s">
        <v>42</v>
      </c>
      <c r="N27" s="2" t="s">
        <v>77</v>
      </c>
      <c r="O27" s="10">
        <v>169</v>
      </c>
      <c r="P27" t="s">
        <v>44</v>
      </c>
      <c r="Q27" t="str">
        <f>_xlfn.XLOOKUP(C:C,'[1]ErberthPereira-targetlist(20260'!$D:$D,'[1]ErberthPereira-targetlist(20260'!$C:$C)</f>
        <v>350218700293560</v>
      </c>
    </row>
    <row r="28" spans="3:17" x14ac:dyDescent="0.3">
      <c r="C28" s="2" t="s">
        <v>102</v>
      </c>
      <c r="D28" s="2">
        <v>2023</v>
      </c>
      <c r="E28" s="2" t="s">
        <v>17</v>
      </c>
      <c r="F28" s="2" t="s">
        <v>18</v>
      </c>
      <c r="G28" s="2" t="s">
        <v>19</v>
      </c>
      <c r="H28" s="9" t="s">
        <v>103</v>
      </c>
      <c r="I28" s="9" t="s">
        <v>39</v>
      </c>
      <c r="J28" s="2" t="s">
        <v>80</v>
      </c>
      <c r="K28" s="2" t="s">
        <v>23</v>
      </c>
      <c r="L28" s="2" t="s">
        <v>41</v>
      </c>
      <c r="M28" s="2" t="s">
        <v>42</v>
      </c>
      <c r="N28" s="2" t="s">
        <v>55</v>
      </c>
      <c r="O28" s="10">
        <v>169</v>
      </c>
      <c r="P28" t="s">
        <v>44</v>
      </c>
      <c r="Q28" t="str">
        <f>_xlfn.XLOOKUP(C:C,'[1]ErberthPereira-targetlist(20260'!$D:$D,'[1]ErberthPereira-targetlist(20260'!$C:$C)</f>
        <v>350218700291127</v>
      </c>
    </row>
    <row r="29" spans="3:17" x14ac:dyDescent="0.3">
      <c r="C29" s="2" t="s">
        <v>104</v>
      </c>
      <c r="D29" s="2">
        <v>2023</v>
      </c>
      <c r="E29" s="2" t="s">
        <v>17</v>
      </c>
      <c r="F29" s="2" t="s">
        <v>18</v>
      </c>
      <c r="G29" s="2" t="s">
        <v>19</v>
      </c>
      <c r="H29" s="9" t="s">
        <v>49</v>
      </c>
      <c r="I29" s="9" t="s">
        <v>105</v>
      </c>
      <c r="J29" s="2" t="s">
        <v>40</v>
      </c>
      <c r="K29" s="2" t="s">
        <v>51</v>
      </c>
      <c r="L29" s="2" t="s">
        <v>24</v>
      </c>
      <c r="M29" s="2" t="s">
        <v>106</v>
      </c>
      <c r="N29" s="2" t="s">
        <v>107</v>
      </c>
      <c r="O29" s="10">
        <v>169</v>
      </c>
      <c r="P29" t="s">
        <v>108</v>
      </c>
      <c r="Q29" t="str">
        <f>_xlfn.XLOOKUP(C:C,'[1]ErberthPereira-targetlist(20260'!$D:$D,'[1]ErberthPereira-targetlist(20260'!$C:$C)</f>
        <v>350218700012226</v>
      </c>
    </row>
    <row r="30" spans="3:17" x14ac:dyDescent="0.3">
      <c r="C30" s="2" t="s">
        <v>109</v>
      </c>
      <c r="D30" s="2">
        <v>2023</v>
      </c>
      <c r="E30" s="2" t="s">
        <v>71</v>
      </c>
      <c r="F30" s="2" t="s">
        <v>72</v>
      </c>
      <c r="G30" s="2" t="s">
        <v>19</v>
      </c>
      <c r="H30" s="9" t="s">
        <v>59</v>
      </c>
      <c r="I30" s="9" t="s">
        <v>110</v>
      </c>
      <c r="J30" s="2" t="s">
        <v>22</v>
      </c>
      <c r="K30" s="2" t="s">
        <v>23</v>
      </c>
      <c r="L30" s="2" t="s">
        <v>61</v>
      </c>
      <c r="M30" s="2" t="s">
        <v>74</v>
      </c>
      <c r="N30" s="2" t="s">
        <v>63</v>
      </c>
      <c r="O30">
        <v>127</v>
      </c>
      <c r="P30" t="s">
        <v>75</v>
      </c>
      <c r="Q30" t="str">
        <f>_xlfn.XLOOKUP(C:C,'[1]ErberthPereira-targetlist(20260'!$D:$D,'[1]ErberthPereira-targetlist(20260'!$C:$C)</f>
        <v>350218700256070</v>
      </c>
    </row>
    <row r="31" spans="3:17" x14ac:dyDescent="0.3">
      <c r="C31" s="2" t="s">
        <v>111</v>
      </c>
      <c r="D31" s="2">
        <v>2023</v>
      </c>
      <c r="E31" s="2" t="s">
        <v>71</v>
      </c>
      <c r="F31" s="2" t="s">
        <v>72</v>
      </c>
      <c r="G31" s="2" t="s">
        <v>19</v>
      </c>
      <c r="H31" s="9" t="s">
        <v>112</v>
      </c>
      <c r="I31" s="9" t="s">
        <v>113</v>
      </c>
      <c r="J31" s="2" t="s">
        <v>114</v>
      </c>
      <c r="K31" s="2" t="s">
        <v>51</v>
      </c>
      <c r="L31" s="2" t="s">
        <v>115</v>
      </c>
      <c r="M31" s="2" t="s">
        <v>116</v>
      </c>
      <c r="N31" s="2" t="s">
        <v>107</v>
      </c>
      <c r="O31" s="10">
        <v>170</v>
      </c>
      <c r="P31" t="s">
        <v>117</v>
      </c>
      <c r="Q31" t="str">
        <f>_xlfn.XLOOKUP(C:C,'[1]ErberthPereira-targetlist(20260'!$D:$D,'[1]ErberthPereira-targetlist(20260'!$C:$C)</f>
        <v>350218700139532</v>
      </c>
    </row>
    <row r="32" spans="3:17" x14ac:dyDescent="0.3">
      <c r="C32" s="2" t="s">
        <v>118</v>
      </c>
      <c r="D32" s="2">
        <v>2023</v>
      </c>
      <c r="E32" s="2" t="s">
        <v>119</v>
      </c>
      <c r="F32" s="2" t="s">
        <v>120</v>
      </c>
      <c r="G32" s="2" t="s">
        <v>19</v>
      </c>
      <c r="H32" s="9" t="s">
        <v>121</v>
      </c>
      <c r="I32" s="9" t="s">
        <v>122</v>
      </c>
      <c r="J32" s="2" t="s">
        <v>34</v>
      </c>
      <c r="K32" s="2" t="s">
        <v>23</v>
      </c>
      <c r="L32" s="2" t="s">
        <v>121</v>
      </c>
      <c r="M32" s="2" t="s">
        <v>123</v>
      </c>
      <c r="N32" s="2" t="s">
        <v>124</v>
      </c>
      <c r="O32">
        <v>127</v>
      </c>
      <c r="P32" t="s">
        <v>125</v>
      </c>
      <c r="Q32" t="str">
        <f>_xlfn.XLOOKUP(C:C,'[1]ErberthPereira-targetlist(20260'!$D:$D,'[1]ErberthPereira-targetlist(20260'!$C:$C)</f>
        <v>350218700121340</v>
      </c>
    </row>
    <row r="33" spans="3:17" x14ac:dyDescent="0.3">
      <c r="C33" s="2" t="s">
        <v>126</v>
      </c>
      <c r="D33" s="2">
        <v>2017</v>
      </c>
      <c r="E33" s="2" t="s">
        <v>127</v>
      </c>
      <c r="F33" s="2" t="s">
        <v>128</v>
      </c>
      <c r="G33" s="2" t="s">
        <v>19</v>
      </c>
      <c r="H33" s="9" t="s">
        <v>129</v>
      </c>
      <c r="I33" s="9" t="s">
        <v>130</v>
      </c>
      <c r="J33" s="2" t="s">
        <v>80</v>
      </c>
      <c r="K33" s="2" t="s">
        <v>23</v>
      </c>
      <c r="L33" s="2" t="s">
        <v>61</v>
      </c>
      <c r="M33" s="2" t="s">
        <v>62</v>
      </c>
      <c r="N33" s="2" t="s">
        <v>131</v>
      </c>
      <c r="O33" s="10">
        <v>169</v>
      </c>
      <c r="P33" t="s">
        <v>64</v>
      </c>
      <c r="Q33" t="str">
        <f>_xlfn.XLOOKUP(C:C,'[1]ErberthPereira-targetlist(20260'!$D:$D,'[1]ErberthPereira-targetlist(20260'!$C:$C)</f>
        <v>350218700112331</v>
      </c>
    </row>
    <row r="34" spans="3:17" x14ac:dyDescent="0.3">
      <c r="C34" s="2" t="s">
        <v>132</v>
      </c>
      <c r="D34" s="2">
        <v>2024</v>
      </c>
      <c r="E34" s="2" t="s">
        <v>133</v>
      </c>
      <c r="F34" s="2" t="s">
        <v>72</v>
      </c>
      <c r="G34" s="2" t="s">
        <v>19</v>
      </c>
      <c r="H34" s="9" t="s">
        <v>134</v>
      </c>
      <c r="I34" s="9" t="s">
        <v>135</v>
      </c>
      <c r="J34" s="2" t="s">
        <v>34</v>
      </c>
      <c r="K34" s="2" t="s">
        <v>51</v>
      </c>
      <c r="L34" s="2" t="s">
        <v>24</v>
      </c>
      <c r="M34" s="2" t="s">
        <v>31</v>
      </c>
      <c r="N34" s="2" t="s">
        <v>107</v>
      </c>
      <c r="O34">
        <v>127</v>
      </c>
      <c r="P34" t="s">
        <v>136</v>
      </c>
      <c r="Q34" t="str">
        <f>_xlfn.XLOOKUP(C:C,'[1]ErberthPereira-targetlist(20260'!$D:$D,'[1]ErberthPereira-targetlist(20260'!$C:$C)</f>
        <v>350218700193778</v>
      </c>
    </row>
    <row r="35" spans="3:17" x14ac:dyDescent="0.3">
      <c r="C35" s="2" t="s">
        <v>137</v>
      </c>
      <c r="D35" s="2">
        <v>2024</v>
      </c>
      <c r="E35" s="2" t="s">
        <v>133</v>
      </c>
      <c r="F35" s="2" t="s">
        <v>72</v>
      </c>
      <c r="G35" s="2" t="s">
        <v>19</v>
      </c>
      <c r="H35" s="9" t="s">
        <v>112</v>
      </c>
      <c r="I35" s="9" t="s">
        <v>138</v>
      </c>
      <c r="J35" s="2" t="s">
        <v>139</v>
      </c>
      <c r="K35" s="2" t="s">
        <v>51</v>
      </c>
      <c r="L35" s="2" t="s">
        <v>115</v>
      </c>
      <c r="M35" s="2" t="s">
        <v>116</v>
      </c>
      <c r="N35" s="2" t="s">
        <v>107</v>
      </c>
      <c r="O35">
        <v>127</v>
      </c>
      <c r="P35" t="s">
        <v>140</v>
      </c>
      <c r="Q35" t="str">
        <f>_xlfn.XLOOKUP(C:C,'[1]ErberthPereira-targetlist(20260'!$D:$D,'[1]ErberthPereira-targetlist(20260'!$C:$C)</f>
        <v>350218700112349</v>
      </c>
    </row>
    <row r="36" spans="3:17" x14ac:dyDescent="0.3">
      <c r="C36" s="2" t="s">
        <v>141</v>
      </c>
      <c r="D36" s="2">
        <v>2024</v>
      </c>
      <c r="E36" s="2" t="s">
        <v>133</v>
      </c>
      <c r="F36" s="2" t="s">
        <v>72</v>
      </c>
      <c r="G36" s="2" t="s">
        <v>19</v>
      </c>
      <c r="H36" s="9" t="s">
        <v>134</v>
      </c>
      <c r="I36" s="9" t="s">
        <v>142</v>
      </c>
      <c r="J36" s="2" t="s">
        <v>139</v>
      </c>
      <c r="K36" s="2" t="s">
        <v>51</v>
      </c>
      <c r="L36" s="2" t="s">
        <v>24</v>
      </c>
      <c r="M36" s="2" t="s">
        <v>31</v>
      </c>
      <c r="N36" s="2" t="s">
        <v>107</v>
      </c>
      <c r="O36">
        <v>127</v>
      </c>
      <c r="P36" t="s">
        <v>136</v>
      </c>
      <c r="Q36" t="str">
        <f>_xlfn.XLOOKUP(C:C,'[1]ErberthPereira-targetlist(20260'!$D:$D,'[1]ErberthPereira-targetlist(20260'!$C:$C)</f>
        <v>350218700152048</v>
      </c>
    </row>
    <row r="37" spans="3:17" x14ac:dyDescent="0.3">
      <c r="C37" s="2" t="s">
        <v>143</v>
      </c>
      <c r="D37" s="2">
        <v>2024</v>
      </c>
      <c r="E37" s="2" t="s">
        <v>133</v>
      </c>
      <c r="F37" s="2" t="s">
        <v>72</v>
      </c>
      <c r="G37" s="2" t="s">
        <v>19</v>
      </c>
      <c r="H37" s="9" t="s">
        <v>144</v>
      </c>
      <c r="I37" s="9" t="s">
        <v>145</v>
      </c>
      <c r="J37" s="2" t="s">
        <v>34</v>
      </c>
      <c r="K37" s="2" t="s">
        <v>51</v>
      </c>
      <c r="L37" s="2" t="s">
        <v>115</v>
      </c>
      <c r="M37" s="2" t="s">
        <v>116</v>
      </c>
      <c r="N37" s="2" t="s">
        <v>107</v>
      </c>
      <c r="O37">
        <v>127</v>
      </c>
      <c r="P37" t="s">
        <v>136</v>
      </c>
      <c r="Q37" t="str">
        <f>_xlfn.XLOOKUP(C:C,'[1]ErberthPereira-targetlist(20260'!$D:$D,'[1]ErberthPereira-targetlist(20260'!$C:$C)</f>
        <v>350218700016193</v>
      </c>
    </row>
    <row r="38" spans="3:17" x14ac:dyDescent="0.3">
      <c r="C38" s="2" t="s">
        <v>146</v>
      </c>
      <c r="D38" s="2">
        <v>2017</v>
      </c>
      <c r="E38" s="2" t="s">
        <v>127</v>
      </c>
      <c r="F38" s="2" t="s">
        <v>128</v>
      </c>
      <c r="G38" s="2" t="s">
        <v>19</v>
      </c>
      <c r="H38" s="9" t="s">
        <v>147</v>
      </c>
      <c r="I38" s="9" t="s">
        <v>130</v>
      </c>
      <c r="J38" s="2" t="s">
        <v>80</v>
      </c>
      <c r="K38" s="2" t="s">
        <v>23</v>
      </c>
      <c r="L38" s="2" t="s">
        <v>61</v>
      </c>
      <c r="M38" s="2" t="s">
        <v>62</v>
      </c>
      <c r="N38" s="2" t="s">
        <v>131</v>
      </c>
      <c r="O38" s="10">
        <v>169</v>
      </c>
      <c r="P38" t="s">
        <v>64</v>
      </c>
      <c r="Q38" t="str">
        <f>_xlfn.XLOOKUP(C:C,'[1]ErberthPereira-targetlist(20260'!$D:$D,'[1]ErberthPereira-targetlist(20260'!$C:$C)</f>
        <v>350218700198553</v>
      </c>
    </row>
    <row r="39" spans="3:17" x14ac:dyDescent="0.3">
      <c r="C39" s="2" t="s">
        <v>148</v>
      </c>
      <c r="D39" s="2">
        <v>2017</v>
      </c>
      <c r="E39" s="2" t="s">
        <v>127</v>
      </c>
      <c r="F39" s="2" t="s">
        <v>128</v>
      </c>
      <c r="G39" s="2" t="s">
        <v>19</v>
      </c>
      <c r="H39" s="9" t="s">
        <v>33</v>
      </c>
      <c r="I39" s="9" t="s">
        <v>149</v>
      </c>
      <c r="J39" s="2" t="s">
        <v>114</v>
      </c>
      <c r="K39" s="2" t="s">
        <v>33</v>
      </c>
      <c r="L39" s="2" t="s">
        <v>150</v>
      </c>
      <c r="M39" s="2" t="s">
        <v>151</v>
      </c>
      <c r="N39" s="2" t="s">
        <v>152</v>
      </c>
      <c r="O39" s="10">
        <v>170</v>
      </c>
      <c r="P39" t="s">
        <v>153</v>
      </c>
      <c r="Q39" t="str">
        <f>_xlfn.XLOOKUP(C:C,'[1]ErberthPereira-targetlist(20260'!$D:$D,'[1]ErberthPereira-targetlist(20260'!$C:$C)</f>
        <v>350218700261492</v>
      </c>
    </row>
    <row r="40" spans="3:17" x14ac:dyDescent="0.3">
      <c r="C40" s="2" t="s">
        <v>154</v>
      </c>
      <c r="D40" s="2">
        <v>2017</v>
      </c>
      <c r="E40" s="2" t="s">
        <v>127</v>
      </c>
      <c r="F40" s="2" t="s">
        <v>128</v>
      </c>
      <c r="G40" s="2" t="s">
        <v>19</v>
      </c>
      <c r="H40" s="9" t="s">
        <v>155</v>
      </c>
      <c r="I40" s="9" t="s">
        <v>149</v>
      </c>
      <c r="J40" s="2" t="s">
        <v>114</v>
      </c>
      <c r="K40" s="2" t="s">
        <v>23</v>
      </c>
      <c r="L40" s="2" t="s">
        <v>150</v>
      </c>
      <c r="M40" s="2" t="s">
        <v>151</v>
      </c>
      <c r="N40" s="2" t="s">
        <v>156</v>
      </c>
      <c r="O40" s="10">
        <v>170</v>
      </c>
      <c r="P40" t="s">
        <v>153</v>
      </c>
      <c r="Q40" t="str">
        <f>_xlfn.XLOOKUP(C:C,'[1]ErberthPereira-targetlist(20260'!$D:$D,'[1]ErberthPereira-targetlist(20260'!$C:$C)</f>
        <v>350218700012374</v>
      </c>
    </row>
    <row r="41" spans="3:17" x14ac:dyDescent="0.3">
      <c r="C41" s="2" t="s">
        <v>157</v>
      </c>
      <c r="D41" s="2">
        <v>2024</v>
      </c>
      <c r="E41" s="2" t="s">
        <v>158</v>
      </c>
      <c r="F41" s="2" t="s">
        <v>159</v>
      </c>
      <c r="G41" s="2" t="s">
        <v>19</v>
      </c>
      <c r="H41" s="9" t="s">
        <v>160</v>
      </c>
      <c r="I41" s="9" t="s">
        <v>30</v>
      </c>
      <c r="J41" s="2" t="s">
        <v>22</v>
      </c>
      <c r="K41" s="2" t="s">
        <v>23</v>
      </c>
      <c r="L41" s="2" t="s">
        <v>24</v>
      </c>
      <c r="M41" s="2" t="s">
        <v>31</v>
      </c>
      <c r="N41" s="2" t="s">
        <v>161</v>
      </c>
      <c r="O41">
        <v>127</v>
      </c>
      <c r="P41" t="s">
        <v>162</v>
      </c>
      <c r="Q41" t="str">
        <f>_xlfn.XLOOKUP(C:C,'[1]ErberthPereira-targetlist(20260'!$D:$D,'[1]ErberthPereira-targetlist(20260'!$C:$C)</f>
        <v>350218700174224</v>
      </c>
    </row>
    <row r="42" spans="3:17" x14ac:dyDescent="0.3">
      <c r="C42" s="2" t="s">
        <v>163</v>
      </c>
      <c r="D42" s="2">
        <v>2023</v>
      </c>
      <c r="E42" s="2" t="s">
        <v>164</v>
      </c>
      <c r="F42" s="2" t="s">
        <v>159</v>
      </c>
      <c r="G42" s="2" t="s">
        <v>19</v>
      </c>
      <c r="H42" s="9" t="s">
        <v>165</v>
      </c>
      <c r="I42" s="9" t="s">
        <v>166</v>
      </c>
      <c r="J42" s="2" t="s">
        <v>80</v>
      </c>
      <c r="K42" s="2" t="s">
        <v>23</v>
      </c>
      <c r="L42" s="2" t="s">
        <v>24</v>
      </c>
      <c r="M42" s="2" t="s">
        <v>106</v>
      </c>
      <c r="N42" s="2" t="s">
        <v>161</v>
      </c>
      <c r="O42" s="10">
        <v>169</v>
      </c>
      <c r="P42" t="s">
        <v>167</v>
      </c>
      <c r="Q42" t="str">
        <f>_xlfn.XLOOKUP(C:C,'[1]ErberthPereira-targetlist(20260'!$D:$D,'[1]ErberthPereira-targetlist(20260'!$C:$C)</f>
        <v>350218700140936</v>
      </c>
    </row>
    <row r="43" spans="3:17" x14ac:dyDescent="0.3">
      <c r="C43" s="2" t="s">
        <v>168</v>
      </c>
      <c r="D43" s="2">
        <v>2024</v>
      </c>
      <c r="E43" s="2" t="s">
        <v>158</v>
      </c>
      <c r="F43" s="2" t="s">
        <v>159</v>
      </c>
      <c r="G43" s="2" t="s">
        <v>19</v>
      </c>
      <c r="H43" s="9" t="s">
        <v>169</v>
      </c>
      <c r="I43" s="9" t="s">
        <v>170</v>
      </c>
      <c r="J43" s="2" t="s">
        <v>40</v>
      </c>
      <c r="K43" s="2" t="s">
        <v>23</v>
      </c>
      <c r="L43" s="2" t="s">
        <v>24</v>
      </c>
      <c r="M43" s="2" t="s">
        <v>106</v>
      </c>
      <c r="N43" s="2" t="s">
        <v>171</v>
      </c>
      <c r="O43" s="10">
        <v>169</v>
      </c>
      <c r="P43" t="s">
        <v>167</v>
      </c>
      <c r="Q43" t="str">
        <f>_xlfn.XLOOKUP(C:C,'[1]ErberthPereira-targetlist(20260'!$D:$D,'[1]ErberthPereira-targetlist(20260'!$C:$C)</f>
        <v>350218700145901</v>
      </c>
    </row>
    <row r="44" spans="3:17" x14ac:dyDescent="0.3">
      <c r="C44" s="2" t="s">
        <v>172</v>
      </c>
      <c r="D44" s="2">
        <v>2024</v>
      </c>
      <c r="E44" s="2" t="s">
        <v>158</v>
      </c>
      <c r="F44" s="2" t="s">
        <v>159</v>
      </c>
      <c r="G44" s="2" t="s">
        <v>19</v>
      </c>
      <c r="H44" s="9" t="s">
        <v>173</v>
      </c>
      <c r="I44" s="9" t="s">
        <v>142</v>
      </c>
      <c r="J44" s="2" t="s">
        <v>139</v>
      </c>
      <c r="K44" s="2" t="s">
        <v>23</v>
      </c>
      <c r="L44" s="2" t="s">
        <v>24</v>
      </c>
      <c r="M44" s="2" t="s">
        <v>31</v>
      </c>
      <c r="N44" s="2" t="s">
        <v>161</v>
      </c>
      <c r="O44">
        <v>127</v>
      </c>
      <c r="P44" t="s">
        <v>162</v>
      </c>
      <c r="Q44" t="str">
        <f>_xlfn.XLOOKUP(C:C,'[1]ErberthPereira-targetlist(20260'!$D:$D,'[1]ErberthPereira-targetlist(20260'!$C:$C)</f>
        <v>350218700195864</v>
      </c>
    </row>
    <row r="45" spans="3:17" x14ac:dyDescent="0.3">
      <c r="C45" s="2" t="s">
        <v>174</v>
      </c>
      <c r="D45" s="2">
        <v>2022</v>
      </c>
      <c r="E45" s="2" t="s">
        <v>175</v>
      </c>
      <c r="F45" s="2" t="s">
        <v>72</v>
      </c>
      <c r="G45" s="2" t="s">
        <v>19</v>
      </c>
      <c r="H45" s="9" t="s">
        <v>134</v>
      </c>
      <c r="I45" s="9" t="s">
        <v>176</v>
      </c>
      <c r="J45" s="2" t="s">
        <v>80</v>
      </c>
      <c r="K45" s="2" t="s">
        <v>51</v>
      </c>
      <c r="L45" s="2" t="s">
        <v>61</v>
      </c>
      <c r="M45" s="2" t="s">
        <v>62</v>
      </c>
      <c r="N45" s="2" t="s">
        <v>107</v>
      </c>
      <c r="O45" s="10">
        <v>169</v>
      </c>
      <c r="P45" t="s">
        <v>108</v>
      </c>
      <c r="Q45" t="str">
        <f>_xlfn.XLOOKUP(C:C,'[1]ErberthPereira-targetlist(20260'!$D:$D,'[1]ErberthPereira-targetlist(20260'!$C:$C)</f>
        <v>350218700139615</v>
      </c>
    </row>
    <row r="46" spans="3:17" x14ac:dyDescent="0.3">
      <c r="C46" s="2" t="s">
        <v>177</v>
      </c>
      <c r="D46" s="2">
        <v>2022</v>
      </c>
      <c r="E46" s="2" t="s">
        <v>175</v>
      </c>
      <c r="F46" s="2" t="s">
        <v>72</v>
      </c>
      <c r="G46" s="2" t="s">
        <v>19</v>
      </c>
      <c r="H46" s="9" t="s">
        <v>49</v>
      </c>
      <c r="I46" s="9" t="s">
        <v>178</v>
      </c>
      <c r="J46" s="2" t="s">
        <v>80</v>
      </c>
      <c r="K46" s="2" t="s">
        <v>51</v>
      </c>
      <c r="L46" s="2" t="s">
        <v>24</v>
      </c>
      <c r="M46" s="2" t="s">
        <v>106</v>
      </c>
      <c r="N46" s="2" t="s">
        <v>107</v>
      </c>
      <c r="O46" s="10">
        <v>169</v>
      </c>
      <c r="P46" t="s">
        <v>108</v>
      </c>
      <c r="Q46" t="str">
        <f>_xlfn.XLOOKUP(C:C,'[1]ErberthPereira-targetlist(20260'!$D:$D,'[1]ErberthPereira-targetlist(20260'!$C:$C)</f>
        <v>350218700146511</v>
      </c>
    </row>
    <row r="47" spans="3:17" x14ac:dyDescent="0.3">
      <c r="C47" s="2" t="s">
        <v>179</v>
      </c>
      <c r="D47" s="2">
        <v>2024</v>
      </c>
      <c r="E47" s="2" t="s">
        <v>158</v>
      </c>
      <c r="F47" s="2" t="s">
        <v>159</v>
      </c>
      <c r="G47" s="2" t="s">
        <v>19</v>
      </c>
      <c r="H47" s="9" t="s">
        <v>180</v>
      </c>
      <c r="I47" s="9" t="s">
        <v>142</v>
      </c>
      <c r="J47" s="2" t="s">
        <v>139</v>
      </c>
      <c r="K47" s="2" t="s">
        <v>23</v>
      </c>
      <c r="L47" s="2" t="s">
        <v>24</v>
      </c>
      <c r="M47" s="2" t="s">
        <v>31</v>
      </c>
      <c r="N47" s="2" t="s">
        <v>161</v>
      </c>
      <c r="O47">
        <v>127</v>
      </c>
      <c r="P47" t="s">
        <v>162</v>
      </c>
      <c r="Q47" t="str">
        <f>_xlfn.XLOOKUP(C:C,'[1]ErberthPereira-targetlist(20260'!$D:$D,'[1]ErberthPereira-targetlist(20260'!$C:$C)</f>
        <v>350218700145273</v>
      </c>
    </row>
    <row r="48" spans="3:17" x14ac:dyDescent="0.3">
      <c r="C48" s="2" t="s">
        <v>181</v>
      </c>
      <c r="D48" s="2">
        <v>2024</v>
      </c>
      <c r="E48" s="2" t="s">
        <v>133</v>
      </c>
      <c r="F48" s="2" t="s">
        <v>72</v>
      </c>
      <c r="G48" s="2" t="s">
        <v>19</v>
      </c>
      <c r="H48" s="9" t="s">
        <v>182</v>
      </c>
      <c r="I48" s="9" t="s">
        <v>170</v>
      </c>
      <c r="J48" s="2" t="s">
        <v>40</v>
      </c>
      <c r="K48" s="2" t="s">
        <v>51</v>
      </c>
      <c r="L48" s="2" t="s">
        <v>24</v>
      </c>
      <c r="M48" s="2" t="s">
        <v>106</v>
      </c>
      <c r="N48" s="2" t="s">
        <v>107</v>
      </c>
      <c r="O48" s="10">
        <v>169</v>
      </c>
      <c r="P48" t="s">
        <v>108</v>
      </c>
      <c r="Q48" t="str">
        <f>_xlfn.XLOOKUP(C:C,'[1]ErberthPereira-targetlist(20260'!$D:$D,'[1]ErberthPereira-targetlist(20260'!$C:$C)</f>
        <v>350218700170958</v>
      </c>
    </row>
    <row r="49" spans="3:17" x14ac:dyDescent="0.3">
      <c r="C49" s="2" t="s">
        <v>183</v>
      </c>
      <c r="D49" s="2">
        <v>2024</v>
      </c>
      <c r="E49" s="2" t="s">
        <v>133</v>
      </c>
      <c r="F49" s="2" t="s">
        <v>72</v>
      </c>
      <c r="G49" s="2" t="s">
        <v>19</v>
      </c>
      <c r="H49" s="9" t="s">
        <v>144</v>
      </c>
      <c r="I49" s="9" t="s">
        <v>184</v>
      </c>
      <c r="J49" s="2" t="s">
        <v>80</v>
      </c>
      <c r="K49" s="2" t="s">
        <v>51</v>
      </c>
      <c r="L49" s="2" t="s">
        <v>115</v>
      </c>
      <c r="M49" s="2" t="s">
        <v>116</v>
      </c>
      <c r="N49" s="2" t="s">
        <v>107</v>
      </c>
      <c r="O49" s="10">
        <v>169</v>
      </c>
      <c r="P49" t="s">
        <v>108</v>
      </c>
      <c r="Q49" t="str">
        <f>_xlfn.XLOOKUP(C:C,'[1]ErberthPereira-targetlist(20260'!$D:$D,'[1]ErberthPereira-targetlist(20260'!$C:$C)</f>
        <v>350218700164076</v>
      </c>
    </row>
    <row r="50" spans="3:17" x14ac:dyDescent="0.3">
      <c r="C50" s="2" t="s">
        <v>185</v>
      </c>
      <c r="D50" s="2">
        <v>2024</v>
      </c>
      <c r="E50" s="2" t="s">
        <v>133</v>
      </c>
      <c r="F50" s="2" t="s">
        <v>72</v>
      </c>
      <c r="G50" s="2" t="s">
        <v>19</v>
      </c>
      <c r="H50" s="9" t="s">
        <v>134</v>
      </c>
      <c r="I50" s="9" t="s">
        <v>186</v>
      </c>
      <c r="J50" s="2" t="s">
        <v>139</v>
      </c>
      <c r="K50" s="2" t="s">
        <v>51</v>
      </c>
      <c r="L50" s="2" t="s">
        <v>61</v>
      </c>
      <c r="M50" s="2" t="s">
        <v>74</v>
      </c>
      <c r="N50" s="2" t="s">
        <v>107</v>
      </c>
      <c r="O50">
        <v>127</v>
      </c>
      <c r="P50" t="s">
        <v>136</v>
      </c>
      <c r="Q50" t="str">
        <f>_xlfn.XLOOKUP(C:C,'[1]ErberthPereira-targetlist(20260'!$D:$D,'[1]ErberthPereira-targetlist(20260'!$C:$C)</f>
        <v>350218700190725</v>
      </c>
    </row>
    <row r="51" spans="3:17" x14ac:dyDescent="0.3">
      <c r="C51" s="2" t="s">
        <v>187</v>
      </c>
      <c r="D51" s="2">
        <v>2024</v>
      </c>
      <c r="E51" s="2" t="s">
        <v>133</v>
      </c>
      <c r="F51" s="2" t="s">
        <v>72</v>
      </c>
      <c r="G51" s="2" t="s">
        <v>19</v>
      </c>
      <c r="H51" s="9" t="s">
        <v>112</v>
      </c>
      <c r="I51" s="9" t="s">
        <v>188</v>
      </c>
      <c r="J51" s="2" t="s">
        <v>40</v>
      </c>
      <c r="K51" s="2" t="s">
        <v>51</v>
      </c>
      <c r="L51" s="2" t="s">
        <v>115</v>
      </c>
      <c r="M51" s="2" t="s">
        <v>116</v>
      </c>
      <c r="N51" s="2" t="s">
        <v>107</v>
      </c>
      <c r="O51" s="10">
        <v>169</v>
      </c>
      <c r="P51" t="s">
        <v>189</v>
      </c>
      <c r="Q51" t="str">
        <f>_xlfn.XLOOKUP(C:C,'[1]ErberthPereira-targetlist(20260'!$D:$D,'[1]ErberthPereira-targetlist(20260'!$C:$C)</f>
        <v>350218700133881</v>
      </c>
    </row>
    <row r="52" spans="3:17" x14ac:dyDescent="0.3">
      <c r="C52" s="2" t="s">
        <v>190</v>
      </c>
      <c r="D52" s="2">
        <v>2025</v>
      </c>
      <c r="E52" s="2" t="s">
        <v>191</v>
      </c>
      <c r="F52" s="2" t="s">
        <v>159</v>
      </c>
      <c r="G52" s="2" t="s">
        <v>19</v>
      </c>
      <c r="H52" s="9" t="s">
        <v>192</v>
      </c>
      <c r="I52" s="9" t="s">
        <v>193</v>
      </c>
      <c r="J52" s="2" t="s">
        <v>34</v>
      </c>
      <c r="K52" s="2" t="s">
        <v>51</v>
      </c>
      <c r="L52" s="2" t="s">
        <v>51</v>
      </c>
      <c r="M52" s="2" t="s">
        <v>194</v>
      </c>
      <c r="N52" s="2" t="s">
        <v>107</v>
      </c>
      <c r="O52" s="10">
        <v>127</v>
      </c>
      <c r="P52" t="s">
        <v>136</v>
      </c>
      <c r="Q52" t="str">
        <f>_xlfn.XLOOKUP(C:C,'[1]ErberthPereira-targetlist(20260'!$D:$D,'[1]ErberthPereira-targetlist(20260'!$C:$C)</f>
        <v>350218700120953</v>
      </c>
    </row>
    <row r="53" spans="3:17" x14ac:dyDescent="0.3">
      <c r="C53" s="2" t="s">
        <v>195</v>
      </c>
      <c r="D53" s="2">
        <v>2024</v>
      </c>
      <c r="E53" s="2" t="s">
        <v>133</v>
      </c>
      <c r="F53" s="2" t="s">
        <v>72</v>
      </c>
      <c r="G53" s="2" t="s">
        <v>19</v>
      </c>
      <c r="H53" s="9" t="s">
        <v>134</v>
      </c>
      <c r="I53" s="9" t="s">
        <v>196</v>
      </c>
      <c r="J53" s="2" t="s">
        <v>40</v>
      </c>
      <c r="K53" s="2" t="s">
        <v>51</v>
      </c>
      <c r="L53" s="2" t="s">
        <v>61</v>
      </c>
      <c r="M53" s="2" t="s">
        <v>62</v>
      </c>
      <c r="N53" s="2" t="s">
        <v>107</v>
      </c>
      <c r="O53" s="10">
        <v>169</v>
      </c>
      <c r="P53" t="s">
        <v>108</v>
      </c>
      <c r="Q53" t="str">
        <f>_xlfn.XLOOKUP(C:C,'[1]ErberthPereira-targetlist(20260'!$D:$D,'[1]ErberthPereira-targetlist(20260'!$C:$C)</f>
        <v>350218700184264</v>
      </c>
    </row>
    <row r="54" spans="3:17" x14ac:dyDescent="0.3">
      <c r="C54" s="2" t="s">
        <v>197</v>
      </c>
      <c r="D54" s="2">
        <v>2018</v>
      </c>
      <c r="E54" s="2" t="s">
        <v>198</v>
      </c>
      <c r="F54" s="2" t="s">
        <v>128</v>
      </c>
      <c r="G54" s="2" t="s">
        <v>19</v>
      </c>
      <c r="H54" s="9" t="s">
        <v>33</v>
      </c>
      <c r="I54" s="9" t="s">
        <v>199</v>
      </c>
      <c r="J54" s="2" t="s">
        <v>34</v>
      </c>
      <c r="K54" s="2" t="s">
        <v>33</v>
      </c>
      <c r="L54" s="2" t="s">
        <v>61</v>
      </c>
      <c r="M54" s="2" t="s">
        <v>74</v>
      </c>
      <c r="N54" s="2" t="s">
        <v>200</v>
      </c>
      <c r="O54">
        <v>127</v>
      </c>
      <c r="P54" t="s">
        <v>75</v>
      </c>
      <c r="Q54" t="str">
        <f>_xlfn.XLOOKUP(C:C,'[1]ErberthPereira-targetlist(20260'!$D:$D,'[1]ErberthPereira-targetlist(20260'!$C:$C)</f>
        <v>350218700115615</v>
      </c>
    </row>
    <row r="55" spans="3:17" x14ac:dyDescent="0.3">
      <c r="C55" s="2" t="s">
        <v>201</v>
      </c>
      <c r="D55" s="2">
        <v>2018</v>
      </c>
      <c r="E55" s="2" t="s">
        <v>198</v>
      </c>
      <c r="F55" s="2" t="s">
        <v>128</v>
      </c>
      <c r="G55" s="2" t="s">
        <v>19</v>
      </c>
      <c r="H55" s="9" t="s">
        <v>202</v>
      </c>
      <c r="I55" s="9" t="s">
        <v>199</v>
      </c>
      <c r="J55" s="2" t="s">
        <v>34</v>
      </c>
      <c r="K55" s="2" t="s">
        <v>23</v>
      </c>
      <c r="L55" s="2" t="s">
        <v>61</v>
      </c>
      <c r="M55" s="2" t="s">
        <v>74</v>
      </c>
      <c r="N55" s="2" t="s">
        <v>200</v>
      </c>
      <c r="O55">
        <v>127</v>
      </c>
      <c r="P55" t="s">
        <v>75</v>
      </c>
      <c r="Q55" t="str">
        <f>_xlfn.XLOOKUP(C:C,'[1]ErberthPereira-targetlist(20260'!$D:$D,'[1]ErberthPereira-targetlist(20260'!$C:$C)</f>
        <v>350218700303583</v>
      </c>
    </row>
    <row r="56" spans="3:17" x14ac:dyDescent="0.3">
      <c r="C56" s="2" t="s">
        <v>203</v>
      </c>
      <c r="D56" s="2">
        <v>2019</v>
      </c>
      <c r="E56" s="2" t="s">
        <v>198</v>
      </c>
      <c r="F56" s="2" t="s">
        <v>128</v>
      </c>
      <c r="G56" s="2" t="s">
        <v>19</v>
      </c>
      <c r="H56" s="9" t="s">
        <v>204</v>
      </c>
      <c r="I56" s="9" t="s">
        <v>186</v>
      </c>
      <c r="J56" s="2" t="s">
        <v>139</v>
      </c>
      <c r="K56" s="2" t="s">
        <v>23</v>
      </c>
      <c r="L56" s="2" t="s">
        <v>61</v>
      </c>
      <c r="M56" s="2" t="s">
        <v>74</v>
      </c>
      <c r="N56" s="2" t="s">
        <v>131</v>
      </c>
      <c r="O56">
        <v>127</v>
      </c>
      <c r="P56" t="s">
        <v>75</v>
      </c>
      <c r="Q56" t="str">
        <f>_xlfn.XLOOKUP(C:C,'[1]ErberthPereira-targetlist(20260'!$D:$D,'[1]ErberthPereira-targetlist(20260'!$C:$C)</f>
        <v>350218700274222</v>
      </c>
    </row>
    <row r="57" spans="3:17" x14ac:dyDescent="0.3">
      <c r="C57" s="2" t="s">
        <v>205</v>
      </c>
      <c r="D57" s="2">
        <v>2024</v>
      </c>
      <c r="E57" s="2" t="s">
        <v>133</v>
      </c>
      <c r="F57" s="2" t="s">
        <v>72</v>
      </c>
      <c r="G57" s="2" t="s">
        <v>19</v>
      </c>
      <c r="H57" s="9" t="s">
        <v>206</v>
      </c>
      <c r="I57" s="9" t="s">
        <v>207</v>
      </c>
      <c r="J57" s="2" t="s">
        <v>80</v>
      </c>
      <c r="K57" s="2" t="s">
        <v>51</v>
      </c>
      <c r="L57" s="2" t="s">
        <v>25</v>
      </c>
      <c r="M57" s="2" t="s">
        <v>25</v>
      </c>
      <c r="N57" s="2" t="s">
        <v>107</v>
      </c>
      <c r="O57" s="10">
        <v>169</v>
      </c>
      <c r="P57" t="s">
        <v>108</v>
      </c>
      <c r="Q57" t="e">
        <f>_xlfn.XLOOKUP(C:C,'[1]ErberthPereira-targetlist(20260'!$D:$D,'[1]ErberthPereira-targetlist(20260'!$C:$C)</f>
        <v>#N/A</v>
      </c>
    </row>
    <row r="58" spans="3:17" x14ac:dyDescent="0.3">
      <c r="C58" s="2" t="s">
        <v>208</v>
      </c>
      <c r="D58" s="2">
        <v>2024</v>
      </c>
      <c r="E58" s="2" t="s">
        <v>133</v>
      </c>
      <c r="F58" s="2" t="s">
        <v>72</v>
      </c>
      <c r="G58" s="2" t="s">
        <v>19</v>
      </c>
      <c r="H58" s="9" t="s">
        <v>112</v>
      </c>
      <c r="I58" s="9" t="s">
        <v>209</v>
      </c>
      <c r="J58" s="2" t="s">
        <v>80</v>
      </c>
      <c r="K58" s="2" t="s">
        <v>51</v>
      </c>
      <c r="L58" s="2" t="s">
        <v>115</v>
      </c>
      <c r="M58" s="2" t="s">
        <v>116</v>
      </c>
      <c r="N58" s="2" t="s">
        <v>107</v>
      </c>
      <c r="O58" s="10">
        <v>169</v>
      </c>
      <c r="P58" t="s">
        <v>189</v>
      </c>
      <c r="Q58" t="str">
        <f>_xlfn.XLOOKUP(C:C,'[1]ErberthPereira-targetlist(20260'!$D:$D,'[1]ErberthPereira-targetlist(20260'!$C:$C)</f>
        <v>350218700113891</v>
      </c>
    </row>
    <row r="59" spans="3:17" x14ac:dyDescent="0.3">
      <c r="C59" s="2" t="s">
        <v>210</v>
      </c>
      <c r="D59" s="2">
        <v>2024</v>
      </c>
      <c r="E59" s="2" t="s">
        <v>133</v>
      </c>
      <c r="F59" s="2" t="s">
        <v>72</v>
      </c>
      <c r="G59" s="2" t="s">
        <v>19</v>
      </c>
      <c r="H59" s="9" t="s">
        <v>211</v>
      </c>
      <c r="I59" s="9" t="s">
        <v>122</v>
      </c>
      <c r="J59" s="2" t="s">
        <v>34</v>
      </c>
      <c r="K59" s="2" t="s">
        <v>51</v>
      </c>
      <c r="L59" s="2" t="s">
        <v>51</v>
      </c>
      <c r="M59" s="2" t="s">
        <v>194</v>
      </c>
      <c r="N59" s="2" t="s">
        <v>107</v>
      </c>
      <c r="O59">
        <v>127</v>
      </c>
      <c r="P59" t="s">
        <v>136</v>
      </c>
      <c r="Q59" t="str">
        <f>_xlfn.XLOOKUP(C:C,'[1]ErberthPereira-targetlist(20260'!$D:$D,'[1]ErberthPereira-targetlist(20260'!$C:$C)</f>
        <v>350218700253820</v>
      </c>
    </row>
    <row r="60" spans="3:17" x14ac:dyDescent="0.3">
      <c r="C60" s="2" t="s">
        <v>212</v>
      </c>
      <c r="D60" s="2">
        <v>2020</v>
      </c>
      <c r="E60" s="2" t="s">
        <v>213</v>
      </c>
      <c r="F60" s="2" t="s">
        <v>128</v>
      </c>
      <c r="G60" s="2" t="s">
        <v>214</v>
      </c>
      <c r="H60" s="9" t="s">
        <v>215</v>
      </c>
      <c r="I60" s="9" t="s">
        <v>149</v>
      </c>
      <c r="J60" s="2" t="s">
        <v>114</v>
      </c>
      <c r="K60" s="2" t="s">
        <v>23</v>
      </c>
      <c r="L60" s="2" t="s">
        <v>150</v>
      </c>
      <c r="M60" s="2" t="s">
        <v>151</v>
      </c>
      <c r="N60" s="2" t="s">
        <v>156</v>
      </c>
      <c r="O60" s="10">
        <v>170</v>
      </c>
      <c r="P60" t="s">
        <v>153</v>
      </c>
      <c r="Q60" t="str">
        <f>_xlfn.XLOOKUP(C:C,'[1]ErberthPereira-targetlist(20260'!$D:$D,'[1]ErberthPereira-targetlist(20260'!$C:$C)</f>
        <v>350218700117140</v>
      </c>
    </row>
    <row r="61" spans="3:17" x14ac:dyDescent="0.3">
      <c r="C61" s="2" t="s">
        <v>216</v>
      </c>
      <c r="D61" s="2">
        <v>2024</v>
      </c>
      <c r="E61" s="2" t="s">
        <v>133</v>
      </c>
      <c r="F61" s="2" t="s">
        <v>72</v>
      </c>
      <c r="G61" s="2" t="s">
        <v>19</v>
      </c>
      <c r="H61" s="9" t="s">
        <v>217</v>
      </c>
      <c r="I61" s="9" t="s">
        <v>218</v>
      </c>
      <c r="J61" s="2" t="s">
        <v>34</v>
      </c>
      <c r="K61" s="2" t="s">
        <v>51</v>
      </c>
      <c r="L61" s="2" t="s">
        <v>51</v>
      </c>
      <c r="M61" s="2" t="s">
        <v>194</v>
      </c>
      <c r="N61" s="2" t="s">
        <v>107</v>
      </c>
      <c r="O61">
        <v>127</v>
      </c>
      <c r="P61" t="s">
        <v>136</v>
      </c>
      <c r="Q61" t="str">
        <f>_xlfn.XLOOKUP(C:C,'[1]ErberthPereira-targetlist(20260'!$D:$D,'[1]ErberthPereira-targetlist(20260'!$C:$C)</f>
        <v>350218700120573</v>
      </c>
    </row>
    <row r="62" spans="3:17" x14ac:dyDescent="0.3">
      <c r="C62" s="2" t="s">
        <v>219</v>
      </c>
      <c r="D62" s="2">
        <v>2024</v>
      </c>
      <c r="E62" s="2" t="s">
        <v>133</v>
      </c>
      <c r="F62" s="2" t="s">
        <v>72</v>
      </c>
      <c r="G62" s="2" t="s">
        <v>19</v>
      </c>
      <c r="H62" s="9" t="s">
        <v>134</v>
      </c>
      <c r="I62" s="9" t="s">
        <v>220</v>
      </c>
      <c r="J62" s="2" t="s">
        <v>34</v>
      </c>
      <c r="K62" s="2" t="s">
        <v>51</v>
      </c>
      <c r="L62" s="2" t="s">
        <v>41</v>
      </c>
      <c r="M62" s="2" t="s">
        <v>42</v>
      </c>
      <c r="N62" s="2" t="s">
        <v>107</v>
      </c>
      <c r="O62" s="10">
        <v>169</v>
      </c>
      <c r="P62" t="s">
        <v>108</v>
      </c>
      <c r="Q62" t="str">
        <f>_xlfn.XLOOKUP(C:C,'[1]ErberthPereira-targetlist(20260'!$D:$D,'[1]ErberthPereira-targetlist(20260'!$C:$C)</f>
        <v>350218700135910</v>
      </c>
    </row>
    <row r="63" spans="3:17" x14ac:dyDescent="0.3">
      <c r="C63" s="2" t="s">
        <v>221</v>
      </c>
      <c r="D63" s="2">
        <v>2024</v>
      </c>
      <c r="E63" s="2" t="s">
        <v>133</v>
      </c>
      <c r="F63" s="2" t="s">
        <v>72</v>
      </c>
      <c r="G63" s="2" t="s">
        <v>19</v>
      </c>
      <c r="H63" s="9" t="s">
        <v>222</v>
      </c>
      <c r="I63" s="9" t="s">
        <v>223</v>
      </c>
      <c r="J63" s="2" t="s">
        <v>34</v>
      </c>
      <c r="K63" s="2" t="s">
        <v>51</v>
      </c>
      <c r="L63" s="2" t="s">
        <v>25</v>
      </c>
      <c r="M63" s="2" t="s">
        <v>25</v>
      </c>
      <c r="N63" s="2" t="s">
        <v>107</v>
      </c>
      <c r="O63">
        <v>127</v>
      </c>
      <c r="P63" t="s">
        <v>136</v>
      </c>
      <c r="Q63" t="e">
        <f>_xlfn.XLOOKUP(C:C,'[1]ErberthPereira-targetlist(20260'!$D:$D,'[1]ErberthPereira-targetlist(20260'!$C:$C)</f>
        <v>#N/A</v>
      </c>
    </row>
    <row r="64" spans="3:17" x14ac:dyDescent="0.3">
      <c r="C64" s="2" t="s">
        <v>224</v>
      </c>
      <c r="D64" s="2">
        <v>2024</v>
      </c>
      <c r="E64" s="2" t="s">
        <v>133</v>
      </c>
      <c r="F64" s="2" t="s">
        <v>72</v>
      </c>
      <c r="G64" s="2" t="s">
        <v>19</v>
      </c>
      <c r="H64" s="9" t="s">
        <v>225</v>
      </c>
      <c r="I64" s="9" t="s">
        <v>226</v>
      </c>
      <c r="J64" s="2" t="s">
        <v>34</v>
      </c>
      <c r="K64" s="2" t="s">
        <v>51</v>
      </c>
      <c r="L64" s="2" t="s">
        <v>25</v>
      </c>
      <c r="M64" s="2" t="s">
        <v>25</v>
      </c>
      <c r="N64" s="2" t="s">
        <v>107</v>
      </c>
      <c r="O64">
        <v>127</v>
      </c>
      <c r="P64" t="s">
        <v>227</v>
      </c>
      <c r="Q64" t="str">
        <f>_xlfn.XLOOKUP(C:C,'[1]ErberthPereira-targetlist(20260'!$D:$D,'[1]ErberthPereira-targetlist(20260'!$C:$C)</f>
        <v>350218700229895</v>
      </c>
    </row>
    <row r="65" spans="3:17" x14ac:dyDescent="0.3">
      <c r="C65" s="2" t="s">
        <v>228</v>
      </c>
      <c r="D65" s="2">
        <v>2023</v>
      </c>
      <c r="E65" s="2" t="s">
        <v>229</v>
      </c>
      <c r="F65" s="2" t="s">
        <v>230</v>
      </c>
      <c r="G65" s="2" t="s">
        <v>231</v>
      </c>
      <c r="H65" s="9" t="s">
        <v>232</v>
      </c>
      <c r="I65" s="9" t="s">
        <v>199</v>
      </c>
      <c r="J65" s="2" t="s">
        <v>34</v>
      </c>
      <c r="K65" s="2" t="s">
        <v>23</v>
      </c>
      <c r="L65" s="2" t="s">
        <v>61</v>
      </c>
      <c r="M65" s="2" t="s">
        <v>74</v>
      </c>
      <c r="N65" s="2" t="s">
        <v>233</v>
      </c>
      <c r="O65">
        <v>127</v>
      </c>
      <c r="P65" t="s">
        <v>234</v>
      </c>
      <c r="Q65" t="str">
        <f>_xlfn.XLOOKUP(C:C,'[1]ErberthPereira-targetlist(20260'!$D:$D,'[1]ErberthPereira-targetlist(20260'!$C:$C)</f>
        <v>350218700111721</v>
      </c>
    </row>
    <row r="66" spans="3:17" x14ac:dyDescent="0.3">
      <c r="C66" s="2" t="s">
        <v>235</v>
      </c>
      <c r="D66" s="2">
        <v>2023</v>
      </c>
      <c r="E66" s="2" t="s">
        <v>236</v>
      </c>
      <c r="F66" s="2" t="s">
        <v>128</v>
      </c>
      <c r="G66" s="2" t="s">
        <v>231</v>
      </c>
      <c r="H66" s="9" t="s">
        <v>237</v>
      </c>
      <c r="I66" s="9" t="s">
        <v>199</v>
      </c>
      <c r="J66" s="2" t="s">
        <v>34</v>
      </c>
      <c r="K66" s="2" t="s">
        <v>23</v>
      </c>
      <c r="L66" s="2" t="s">
        <v>61</v>
      </c>
      <c r="M66" s="2" t="s">
        <v>74</v>
      </c>
      <c r="N66" s="2" t="s">
        <v>200</v>
      </c>
      <c r="O66">
        <v>127</v>
      </c>
      <c r="P66" t="s">
        <v>75</v>
      </c>
      <c r="Q66" t="str">
        <f>_xlfn.XLOOKUP(C:C,'[1]ErberthPereira-targetlist(20260'!$D:$D,'[1]ErberthPereira-targetlist(20260'!$C:$C)</f>
        <v>350218700166394</v>
      </c>
    </row>
    <row r="67" spans="3:17" x14ac:dyDescent="0.3">
      <c r="C67" s="2" t="s">
        <v>238</v>
      </c>
      <c r="D67" s="2">
        <v>2024</v>
      </c>
      <c r="E67" s="2" t="s">
        <v>133</v>
      </c>
      <c r="F67" s="2" t="s">
        <v>72</v>
      </c>
      <c r="G67" s="2" t="s">
        <v>19</v>
      </c>
      <c r="H67" s="9" t="s">
        <v>239</v>
      </c>
      <c r="I67" s="9" t="s">
        <v>240</v>
      </c>
      <c r="J67" s="2" t="s">
        <v>80</v>
      </c>
      <c r="K67" s="2" t="s">
        <v>51</v>
      </c>
      <c r="L67" s="2" t="s">
        <v>61</v>
      </c>
      <c r="M67" s="2" t="s">
        <v>194</v>
      </c>
      <c r="N67" s="2" t="s">
        <v>107</v>
      </c>
      <c r="O67" s="10">
        <v>169</v>
      </c>
      <c r="P67" t="s">
        <v>108</v>
      </c>
      <c r="Q67" t="str">
        <f>_xlfn.XLOOKUP(C:C,'[1]ErberthPereira-targetlist(20260'!$D:$D,'[1]ErberthPereira-targetlist(20260'!$C:$C)</f>
        <v>350218700170982</v>
      </c>
    </row>
    <row r="68" spans="3:17" x14ac:dyDescent="0.3">
      <c r="C68" s="2" t="s">
        <v>241</v>
      </c>
      <c r="D68" s="2">
        <v>2024</v>
      </c>
      <c r="E68" s="2" t="s">
        <v>133</v>
      </c>
      <c r="F68" s="2" t="s">
        <v>72</v>
      </c>
      <c r="G68" s="2" t="s">
        <v>19</v>
      </c>
      <c r="H68" s="9" t="s">
        <v>242</v>
      </c>
      <c r="I68" s="9" t="s">
        <v>243</v>
      </c>
      <c r="J68" s="2" t="s">
        <v>34</v>
      </c>
      <c r="K68" s="2" t="s">
        <v>51</v>
      </c>
      <c r="L68" s="2" t="s">
        <v>51</v>
      </c>
      <c r="M68" s="2" t="s">
        <v>194</v>
      </c>
      <c r="N68" s="2" t="s">
        <v>107</v>
      </c>
      <c r="O68">
        <v>127</v>
      </c>
      <c r="P68" t="s">
        <v>136</v>
      </c>
      <c r="Q68" t="str">
        <f>_xlfn.XLOOKUP(C:C,'[1]ErberthPereira-targetlist(20260'!$D:$D,'[1]ErberthPereira-targetlist(20260'!$C:$C)</f>
        <v>350218700195369</v>
      </c>
    </row>
    <row r="69" spans="3:17" x14ac:dyDescent="0.3">
      <c r="C69" s="12" t="s">
        <v>244</v>
      </c>
      <c r="D69" s="12">
        <v>2024</v>
      </c>
      <c r="E69" s="12" t="s">
        <v>133</v>
      </c>
      <c r="F69" s="12" t="s">
        <v>72</v>
      </c>
      <c r="G69" s="12" t="s">
        <v>19</v>
      </c>
      <c r="H69" s="12" t="s">
        <v>245</v>
      </c>
      <c r="I69" s="12" t="s">
        <v>245</v>
      </c>
      <c r="J69" s="12" t="s">
        <v>22</v>
      </c>
      <c r="K69" s="12" t="s">
        <v>51</v>
      </c>
      <c r="L69" s="12" t="s">
        <v>24</v>
      </c>
      <c r="M69" s="12" t="s">
        <v>31</v>
      </c>
      <c r="N69" s="12" t="s">
        <v>107</v>
      </c>
      <c r="O69" s="13">
        <v>127</v>
      </c>
      <c r="P69" s="13" t="s">
        <v>136</v>
      </c>
      <c r="Q69" t="str">
        <f>_xlfn.XLOOKUP(C:C,'[1]ErberthPereira-targetlist(20260'!$D:$D,'[1]ErberthPereira-targetlist(20260'!$C:$C)</f>
        <v>350218700132024</v>
      </c>
    </row>
    <row r="70" spans="3:17" x14ac:dyDescent="0.3">
      <c r="C70" s="2" t="s">
        <v>246</v>
      </c>
      <c r="D70" s="2">
        <v>2024</v>
      </c>
      <c r="E70" s="2" t="s">
        <v>133</v>
      </c>
      <c r="F70" s="2" t="s">
        <v>72</v>
      </c>
      <c r="G70" s="2" t="s">
        <v>19</v>
      </c>
      <c r="H70" s="9" t="s">
        <v>239</v>
      </c>
      <c r="I70" s="9" t="s">
        <v>247</v>
      </c>
      <c r="J70" s="2" t="s">
        <v>34</v>
      </c>
      <c r="K70" s="2" t="s">
        <v>51</v>
      </c>
      <c r="L70" s="2" t="s">
        <v>41</v>
      </c>
      <c r="M70" s="2" t="s">
        <v>42</v>
      </c>
      <c r="N70" s="2" t="s">
        <v>107</v>
      </c>
      <c r="O70" s="10">
        <v>169</v>
      </c>
      <c r="P70" t="s">
        <v>108</v>
      </c>
      <c r="Q70" t="str">
        <f>_xlfn.XLOOKUP(C:C,'[1]ErberthPereira-targetlist(20260'!$D:$D,'[1]ErberthPereira-targetlist(20260'!$C:$C)</f>
        <v>350218700137056</v>
      </c>
    </row>
    <row r="71" spans="3:17" x14ac:dyDescent="0.3">
      <c r="C71" s="2" t="s">
        <v>248</v>
      </c>
      <c r="D71" s="2">
        <v>2024</v>
      </c>
      <c r="E71" s="2" t="s">
        <v>133</v>
      </c>
      <c r="F71" s="2" t="s">
        <v>72</v>
      </c>
      <c r="G71" s="2" t="s">
        <v>19</v>
      </c>
      <c r="H71" s="9" t="s">
        <v>249</v>
      </c>
      <c r="I71" s="9"/>
      <c r="J71" s="2" t="s">
        <v>34</v>
      </c>
      <c r="K71" s="2" t="s">
        <v>51</v>
      </c>
      <c r="L71" s="2" t="s">
        <v>115</v>
      </c>
      <c r="M71" s="2" t="s">
        <v>116</v>
      </c>
      <c r="N71" s="2" t="s">
        <v>107</v>
      </c>
      <c r="O71">
        <v>127</v>
      </c>
      <c r="P71" t="s">
        <v>140</v>
      </c>
      <c r="Q71" t="e">
        <f>_xlfn.XLOOKUP(C:C,'[1]ErberthPereira-targetlist(20260'!$D:$D,'[1]ErberthPereira-targetlist(20260'!$C:$C)</f>
        <v>#N/A</v>
      </c>
    </row>
    <row r="72" spans="3:17" x14ac:dyDescent="0.3">
      <c r="C72" s="2" t="s">
        <v>250</v>
      </c>
      <c r="D72" s="2">
        <v>2019</v>
      </c>
      <c r="E72" s="2" t="s">
        <v>198</v>
      </c>
      <c r="F72" s="2" t="s">
        <v>128</v>
      </c>
      <c r="G72" s="2" t="s">
        <v>19</v>
      </c>
      <c r="H72" s="9" t="s">
        <v>251</v>
      </c>
      <c r="I72" s="9" t="s">
        <v>149</v>
      </c>
      <c r="J72" s="2" t="s">
        <v>114</v>
      </c>
      <c r="K72" s="2" t="s">
        <v>23</v>
      </c>
      <c r="L72" s="2" t="s">
        <v>150</v>
      </c>
      <c r="M72" s="2" t="s">
        <v>151</v>
      </c>
      <c r="N72" s="2" t="s">
        <v>156</v>
      </c>
      <c r="O72" s="10">
        <v>170</v>
      </c>
      <c r="P72" t="s">
        <v>153</v>
      </c>
      <c r="Q72" t="str">
        <f>_xlfn.XLOOKUP(C:C,'[1]ErberthPereira-targetlist(20260'!$D:$D,'[1]ErberthPereira-targetlist(20260'!$C:$C)</f>
        <v>350218700162179</v>
      </c>
    </row>
    <row r="73" spans="3:17" x14ac:dyDescent="0.3">
      <c r="C73" s="2" t="s">
        <v>252</v>
      </c>
      <c r="D73" s="2">
        <v>2024</v>
      </c>
      <c r="E73" s="2" t="s">
        <v>133</v>
      </c>
      <c r="F73" s="2" t="s">
        <v>72</v>
      </c>
      <c r="G73" s="2" t="s">
        <v>19</v>
      </c>
      <c r="H73" s="9" t="s">
        <v>239</v>
      </c>
      <c r="I73" s="9" t="s">
        <v>253</v>
      </c>
      <c r="J73" s="2" t="s">
        <v>22</v>
      </c>
      <c r="K73" s="2" t="s">
        <v>51</v>
      </c>
      <c r="L73" s="2" t="s">
        <v>24</v>
      </c>
      <c r="M73" s="2" t="s">
        <v>194</v>
      </c>
      <c r="N73" s="2" t="s">
        <v>107</v>
      </c>
      <c r="O73">
        <v>127</v>
      </c>
      <c r="P73" t="s">
        <v>136</v>
      </c>
      <c r="Q73" t="str">
        <f>_xlfn.XLOOKUP(C:C,'[1]ErberthPereira-targetlist(20260'!$D:$D,'[1]ErberthPereira-targetlist(20260'!$C:$C)</f>
        <v>350218700255932</v>
      </c>
    </row>
    <row r="74" spans="3:17" x14ac:dyDescent="0.3">
      <c r="C74" s="2" t="s">
        <v>254</v>
      </c>
      <c r="D74" s="2">
        <v>2024</v>
      </c>
      <c r="E74" s="2" t="s">
        <v>133</v>
      </c>
      <c r="F74" s="2" t="s">
        <v>72</v>
      </c>
      <c r="G74" s="2" t="s">
        <v>19</v>
      </c>
      <c r="H74" s="9" t="s">
        <v>112</v>
      </c>
      <c r="I74" s="9" t="s">
        <v>255</v>
      </c>
      <c r="J74" s="2" t="s">
        <v>34</v>
      </c>
      <c r="K74" s="2" t="s">
        <v>51</v>
      </c>
      <c r="L74" s="2" t="s">
        <v>115</v>
      </c>
      <c r="M74" s="2" t="s">
        <v>116</v>
      </c>
      <c r="N74" s="2" t="s">
        <v>107</v>
      </c>
      <c r="O74">
        <v>127</v>
      </c>
      <c r="P74" t="s">
        <v>140</v>
      </c>
      <c r="Q74" t="str">
        <f>_xlfn.XLOOKUP(C:C,'[1]ErberthPereira-targetlist(20260'!$D:$D,'[1]ErberthPereira-targetlist(20260'!$C:$C)</f>
        <v>350218700261666</v>
      </c>
    </row>
    <row r="75" spans="3:17" x14ac:dyDescent="0.3">
      <c r="C75" s="2" t="s">
        <v>256</v>
      </c>
      <c r="D75" s="2">
        <v>2024</v>
      </c>
      <c r="E75" s="2" t="s">
        <v>133</v>
      </c>
      <c r="F75" s="2" t="s">
        <v>72</v>
      </c>
      <c r="G75" s="2" t="s">
        <v>19</v>
      </c>
      <c r="H75" s="9" t="s">
        <v>257</v>
      </c>
      <c r="I75" s="9" t="s">
        <v>116</v>
      </c>
      <c r="J75" s="2" t="s">
        <v>34</v>
      </c>
      <c r="K75" s="2" t="s">
        <v>51</v>
      </c>
      <c r="L75" s="2" t="s">
        <v>51</v>
      </c>
      <c r="M75" s="2" t="s">
        <v>194</v>
      </c>
      <c r="N75" s="2" t="s">
        <v>107</v>
      </c>
      <c r="O75" s="10">
        <v>169</v>
      </c>
      <c r="P75" t="s">
        <v>108</v>
      </c>
      <c r="Q75" t="str">
        <f>_xlfn.XLOOKUP(C:C,'[1]ErberthPereira-targetlist(20260'!$D:$D,'[1]ErberthPereira-targetlist(20260'!$C:$C)</f>
        <v>350218700171113</v>
      </c>
    </row>
    <row r="76" spans="3:17" x14ac:dyDescent="0.3">
      <c r="C76" s="2" t="s">
        <v>258</v>
      </c>
      <c r="D76" s="2">
        <v>2017</v>
      </c>
      <c r="E76" s="2" t="s">
        <v>127</v>
      </c>
      <c r="F76" s="2" t="s">
        <v>128</v>
      </c>
      <c r="G76" s="2" t="s">
        <v>19</v>
      </c>
      <c r="H76" s="9" t="s">
        <v>33</v>
      </c>
      <c r="I76" s="9" t="s">
        <v>130</v>
      </c>
      <c r="J76" s="2" t="s">
        <v>80</v>
      </c>
      <c r="K76" s="2" t="s">
        <v>33</v>
      </c>
      <c r="L76" s="2" t="s">
        <v>61</v>
      </c>
      <c r="M76" s="2" t="s">
        <v>62</v>
      </c>
      <c r="N76" s="2" t="s">
        <v>259</v>
      </c>
      <c r="O76" s="10">
        <v>169</v>
      </c>
      <c r="P76" t="s">
        <v>64</v>
      </c>
      <c r="Q76" t="str">
        <f>_xlfn.XLOOKUP(C:C,'[1]ErberthPereira-targetlist(20260'!$D:$D,'[1]ErberthPereira-targetlist(20260'!$C:$C)</f>
        <v>350218700272531</v>
      </c>
    </row>
    <row r="77" spans="3:17" x14ac:dyDescent="0.3">
      <c r="C77" s="2" t="s">
        <v>260</v>
      </c>
      <c r="D77" s="2">
        <v>2024</v>
      </c>
      <c r="E77" s="2" t="s">
        <v>133</v>
      </c>
      <c r="F77" s="2" t="s">
        <v>72</v>
      </c>
      <c r="G77" s="2" t="s">
        <v>19</v>
      </c>
      <c r="H77" s="9" t="s">
        <v>239</v>
      </c>
      <c r="I77" s="9" t="s">
        <v>261</v>
      </c>
      <c r="J77" s="2" t="s">
        <v>34</v>
      </c>
      <c r="K77" s="2" t="s">
        <v>51</v>
      </c>
      <c r="L77" s="2" t="s">
        <v>61</v>
      </c>
      <c r="M77" s="2" t="s">
        <v>194</v>
      </c>
      <c r="N77" s="2" t="s">
        <v>107</v>
      </c>
      <c r="O77">
        <v>127</v>
      </c>
      <c r="P77" t="s">
        <v>136</v>
      </c>
      <c r="Q77" t="e">
        <f>_xlfn.XLOOKUP(C:C,'[1]ErberthPereira-targetlist(20260'!$D:$D,'[1]ErberthPereira-targetlist(20260'!$C:$C)</f>
        <v>#N/A</v>
      </c>
    </row>
    <row r="78" spans="3:17" x14ac:dyDescent="0.3">
      <c r="C78" s="2" t="s">
        <v>262</v>
      </c>
      <c r="D78" s="2">
        <v>2024</v>
      </c>
      <c r="E78" s="2" t="s">
        <v>133</v>
      </c>
      <c r="F78" s="2" t="s">
        <v>72</v>
      </c>
      <c r="G78" s="2" t="s">
        <v>19</v>
      </c>
      <c r="H78" s="9" t="s">
        <v>134</v>
      </c>
      <c r="I78" s="9" t="s">
        <v>263</v>
      </c>
      <c r="J78" s="2" t="s">
        <v>40</v>
      </c>
      <c r="K78" s="2" t="s">
        <v>51</v>
      </c>
      <c r="L78" s="2" t="s">
        <v>61</v>
      </c>
      <c r="M78" s="2" t="s">
        <v>62</v>
      </c>
      <c r="N78" s="2" t="s">
        <v>107</v>
      </c>
      <c r="O78" s="10">
        <v>169</v>
      </c>
      <c r="P78" t="s">
        <v>108</v>
      </c>
      <c r="Q78" t="str">
        <f>_xlfn.XLOOKUP(C:C,'[1]ErberthPereira-targetlist(20260'!$D:$D,'[1]ErberthPereira-targetlist(20260'!$C:$C)</f>
        <v>350218700182565</v>
      </c>
    </row>
    <row r="79" spans="3:17" x14ac:dyDescent="0.3">
      <c r="C79" s="2" t="s">
        <v>264</v>
      </c>
      <c r="D79" s="2">
        <v>2024</v>
      </c>
      <c r="E79" s="2" t="s">
        <v>133</v>
      </c>
      <c r="F79" s="2" t="s">
        <v>72</v>
      </c>
      <c r="G79" s="2" t="s">
        <v>19</v>
      </c>
      <c r="H79" s="9" t="s">
        <v>134</v>
      </c>
      <c r="I79" s="9" t="s">
        <v>199</v>
      </c>
      <c r="J79" s="2" t="s">
        <v>22</v>
      </c>
      <c r="K79" s="2" t="s">
        <v>51</v>
      </c>
      <c r="L79" s="2" t="s">
        <v>61</v>
      </c>
      <c r="M79" s="2" t="s">
        <v>74</v>
      </c>
      <c r="N79" s="2" t="s">
        <v>107</v>
      </c>
      <c r="O79">
        <v>127</v>
      </c>
      <c r="P79" t="s">
        <v>136</v>
      </c>
      <c r="Q79" t="str">
        <f>_xlfn.XLOOKUP(C:C,'[1]ErberthPereira-targetlist(20260'!$D:$D,'[1]ErberthPereira-targetlist(20260'!$C:$C)</f>
        <v>350218700110921</v>
      </c>
    </row>
    <row r="80" spans="3:17" x14ac:dyDescent="0.3">
      <c r="C80" s="2" t="s">
        <v>265</v>
      </c>
      <c r="D80" s="2">
        <v>2024</v>
      </c>
      <c r="E80" s="2" t="s">
        <v>133</v>
      </c>
      <c r="F80" s="2" t="s">
        <v>72</v>
      </c>
      <c r="G80" s="2" t="s">
        <v>19</v>
      </c>
      <c r="H80" s="9" t="s">
        <v>112</v>
      </c>
      <c r="I80" s="9" t="s">
        <v>266</v>
      </c>
      <c r="J80" s="2" t="s">
        <v>22</v>
      </c>
      <c r="K80" s="2" t="s">
        <v>51</v>
      </c>
      <c r="L80" s="2" t="s">
        <v>115</v>
      </c>
      <c r="M80" s="2" t="s">
        <v>116</v>
      </c>
      <c r="N80" s="2" t="s">
        <v>107</v>
      </c>
      <c r="O80">
        <v>127</v>
      </c>
      <c r="P80" t="s">
        <v>140</v>
      </c>
      <c r="Q80" t="str">
        <f>_xlfn.XLOOKUP(C:C,'[1]ErberthPereira-targetlist(20260'!$D:$D,'[1]ErberthPereira-targetlist(20260'!$C:$C)</f>
        <v>350218700219730</v>
      </c>
    </row>
    <row r="81" spans="3:17" x14ac:dyDescent="0.3">
      <c r="C81" s="2" t="s">
        <v>267</v>
      </c>
      <c r="D81" s="2">
        <v>2024</v>
      </c>
      <c r="E81" s="2" t="s">
        <v>164</v>
      </c>
      <c r="F81" s="2" t="s">
        <v>159</v>
      </c>
      <c r="G81" s="2" t="s">
        <v>19</v>
      </c>
      <c r="H81" s="9" t="s">
        <v>268</v>
      </c>
      <c r="I81" s="9" t="s">
        <v>142</v>
      </c>
      <c r="J81" s="2" t="s">
        <v>139</v>
      </c>
      <c r="K81" s="2" t="s">
        <v>23</v>
      </c>
      <c r="L81" s="2" t="s">
        <v>24</v>
      </c>
      <c r="M81" s="2" t="s">
        <v>31</v>
      </c>
      <c r="N81" s="2" t="s">
        <v>269</v>
      </c>
      <c r="O81">
        <v>127</v>
      </c>
      <c r="P81" t="s">
        <v>69</v>
      </c>
      <c r="Q81" t="str">
        <f>_xlfn.XLOOKUP(C:C,'[1]ErberthPereira-targetlist(20260'!$D:$D,'[1]ErberthPereira-targetlist(20260'!$C:$C)</f>
        <v>350218700118239</v>
      </c>
    </row>
    <row r="82" spans="3:17" x14ac:dyDescent="0.3">
      <c r="C82" s="2" t="s">
        <v>270</v>
      </c>
      <c r="D82" s="2">
        <v>2024</v>
      </c>
      <c r="E82" s="2" t="s">
        <v>164</v>
      </c>
      <c r="F82" s="2" t="s">
        <v>159</v>
      </c>
      <c r="G82" s="2" t="s">
        <v>19</v>
      </c>
      <c r="H82" s="9" t="s">
        <v>271</v>
      </c>
      <c r="I82" s="9" t="s">
        <v>30</v>
      </c>
      <c r="J82" s="2" t="s">
        <v>22</v>
      </c>
      <c r="K82" s="2" t="s">
        <v>23</v>
      </c>
      <c r="L82" s="2" t="s">
        <v>24</v>
      </c>
      <c r="M82" s="2" t="s">
        <v>31</v>
      </c>
      <c r="N82" s="2" t="s">
        <v>269</v>
      </c>
      <c r="O82">
        <v>127</v>
      </c>
      <c r="P82" t="s">
        <v>69</v>
      </c>
      <c r="Q82" t="str">
        <f>_xlfn.XLOOKUP(C:C,'[1]ErberthPereira-targetlist(20260'!$D:$D,'[1]ErberthPereira-targetlist(20260'!$C:$C)</f>
        <v>350218700191087</v>
      </c>
    </row>
    <row r="83" spans="3:17" x14ac:dyDescent="0.3">
      <c r="C83" s="2" t="s">
        <v>272</v>
      </c>
      <c r="D83" s="2">
        <v>2024</v>
      </c>
      <c r="E83" s="2" t="s">
        <v>164</v>
      </c>
      <c r="F83" s="2" t="s">
        <v>159</v>
      </c>
      <c r="G83" s="2" t="s">
        <v>19</v>
      </c>
      <c r="H83" s="9" t="s">
        <v>273</v>
      </c>
      <c r="I83" s="9" t="s">
        <v>30</v>
      </c>
      <c r="J83" s="2" t="s">
        <v>22</v>
      </c>
      <c r="K83" s="2" t="s">
        <v>23</v>
      </c>
      <c r="L83" s="2" t="s">
        <v>24</v>
      </c>
      <c r="M83" s="2" t="s">
        <v>31</v>
      </c>
      <c r="N83" s="2" t="s">
        <v>161</v>
      </c>
      <c r="O83">
        <v>127</v>
      </c>
      <c r="P83" t="s">
        <v>162</v>
      </c>
      <c r="Q83" t="str">
        <f>_xlfn.XLOOKUP(C:C,'[1]ErberthPereira-targetlist(20260'!$D:$D,'[1]ErberthPereira-targetlist(20260'!$C:$C)</f>
        <v>350218700005667</v>
      </c>
    </row>
    <row r="84" spans="3:17" x14ac:dyDescent="0.3">
      <c r="C84" s="2" t="s">
        <v>274</v>
      </c>
      <c r="D84" s="2">
        <v>2024</v>
      </c>
      <c r="E84" s="2" t="s">
        <v>164</v>
      </c>
      <c r="F84" s="2" t="s">
        <v>159</v>
      </c>
      <c r="G84" s="2" t="s">
        <v>19</v>
      </c>
      <c r="H84" s="9" t="s">
        <v>275</v>
      </c>
      <c r="I84" s="9" t="s">
        <v>30</v>
      </c>
      <c r="J84" s="2" t="s">
        <v>22</v>
      </c>
      <c r="K84" s="2" t="s">
        <v>23</v>
      </c>
      <c r="L84" s="2" t="s">
        <v>24</v>
      </c>
      <c r="M84" s="2" t="s">
        <v>31</v>
      </c>
      <c r="N84" s="2" t="s">
        <v>161</v>
      </c>
      <c r="O84">
        <v>127</v>
      </c>
      <c r="P84" t="s">
        <v>162</v>
      </c>
      <c r="Q84" t="str">
        <f>_xlfn.XLOOKUP(C:C,'[1]ErberthPereira-targetlist(20260'!$D:$D,'[1]ErberthPereira-targetlist(20260'!$C:$C)</f>
        <v>350218700105525</v>
      </c>
    </row>
    <row r="85" spans="3:17" x14ac:dyDescent="0.3">
      <c r="C85" s="2" t="s">
        <v>276</v>
      </c>
      <c r="D85" s="2">
        <v>2023</v>
      </c>
      <c r="E85" s="2" t="s">
        <v>17</v>
      </c>
      <c r="F85" s="2" t="s">
        <v>18</v>
      </c>
      <c r="G85" s="2" t="s">
        <v>19</v>
      </c>
      <c r="H85" s="9" t="s">
        <v>33</v>
      </c>
      <c r="I85" s="9" t="s">
        <v>166</v>
      </c>
      <c r="J85" s="2" t="s">
        <v>80</v>
      </c>
      <c r="K85" s="2" t="s">
        <v>33</v>
      </c>
      <c r="L85" s="2" t="s">
        <v>24</v>
      </c>
      <c r="M85" s="2" t="s">
        <v>106</v>
      </c>
      <c r="N85" s="2" t="s">
        <v>35</v>
      </c>
      <c r="O85" s="10">
        <v>169</v>
      </c>
      <c r="P85" t="s">
        <v>277</v>
      </c>
      <c r="Q85" t="str">
        <f>_xlfn.XLOOKUP(C:C,'[1]ErberthPereira-targetlist(20260'!$D:$D,'[1]ErberthPereira-targetlist(20260'!$C:$C)</f>
        <v>350218700204484</v>
      </c>
    </row>
    <row r="86" spans="3:17" x14ac:dyDescent="0.3">
      <c r="C86" s="2" t="s">
        <v>278</v>
      </c>
      <c r="D86" s="2">
        <v>2024</v>
      </c>
      <c r="E86" s="2" t="s">
        <v>164</v>
      </c>
      <c r="F86" s="2" t="s">
        <v>159</v>
      </c>
      <c r="G86" s="2" t="s">
        <v>19</v>
      </c>
      <c r="H86" s="9" t="s">
        <v>279</v>
      </c>
      <c r="I86" s="9" t="s">
        <v>135</v>
      </c>
      <c r="J86" s="2" t="s">
        <v>34</v>
      </c>
      <c r="K86" s="2" t="s">
        <v>23</v>
      </c>
      <c r="L86" s="2" t="s">
        <v>24</v>
      </c>
      <c r="M86" s="2" t="s">
        <v>31</v>
      </c>
      <c r="N86" s="2" t="s">
        <v>171</v>
      </c>
      <c r="O86">
        <v>127</v>
      </c>
      <c r="P86" t="s">
        <v>162</v>
      </c>
      <c r="Q86" t="str">
        <f>_xlfn.XLOOKUP(C:C,'[1]ErberthPereira-targetlist(20260'!$D:$D,'[1]ErberthPereira-targetlist(20260'!$C:$C)</f>
        <v>350218700115961</v>
      </c>
    </row>
    <row r="87" spans="3:17" x14ac:dyDescent="0.3">
      <c r="C87" s="2" t="s">
        <v>280</v>
      </c>
      <c r="D87" s="2">
        <v>2024</v>
      </c>
      <c r="E87" s="2" t="s">
        <v>164</v>
      </c>
      <c r="F87" s="2" t="s">
        <v>159</v>
      </c>
      <c r="G87" s="2" t="s">
        <v>19</v>
      </c>
      <c r="H87" s="9" t="s">
        <v>281</v>
      </c>
      <c r="I87" s="9" t="s">
        <v>142</v>
      </c>
      <c r="J87" s="2" t="s">
        <v>139</v>
      </c>
      <c r="K87" s="2" t="s">
        <v>23</v>
      </c>
      <c r="L87" s="2" t="s">
        <v>24</v>
      </c>
      <c r="M87" s="2" t="s">
        <v>31</v>
      </c>
      <c r="N87" s="2" t="s">
        <v>171</v>
      </c>
      <c r="O87">
        <v>127</v>
      </c>
      <c r="P87" t="s">
        <v>162</v>
      </c>
      <c r="Q87" t="str">
        <f>_xlfn.XLOOKUP(C:C,'[1]ErberthPereira-targetlist(20260'!$D:$D,'[1]ErberthPereira-targetlist(20260'!$C:$C)</f>
        <v>350218700110962</v>
      </c>
    </row>
    <row r="88" spans="3:17" x14ac:dyDescent="0.3">
      <c r="C88" s="2" t="s">
        <v>282</v>
      </c>
      <c r="D88" s="2">
        <v>2023</v>
      </c>
      <c r="E88" s="2" t="s">
        <v>17</v>
      </c>
      <c r="F88" s="2" t="s">
        <v>18</v>
      </c>
      <c r="G88" s="2" t="s">
        <v>19</v>
      </c>
      <c r="H88" s="9" t="s">
        <v>49</v>
      </c>
      <c r="I88" s="9" t="s">
        <v>166</v>
      </c>
      <c r="J88" s="2" t="s">
        <v>80</v>
      </c>
      <c r="K88" s="2" t="s">
        <v>51</v>
      </c>
      <c r="L88" s="2" t="s">
        <v>24</v>
      </c>
      <c r="M88" s="2" t="s">
        <v>106</v>
      </c>
      <c r="N88" s="2" t="s">
        <v>107</v>
      </c>
      <c r="O88" s="10">
        <v>169</v>
      </c>
      <c r="P88" t="s">
        <v>108</v>
      </c>
      <c r="Q88" t="str">
        <f>_xlfn.XLOOKUP(C:C,'[1]ErberthPereira-targetlist(20260'!$D:$D,'[1]ErberthPereira-targetlist(20260'!$C:$C)</f>
        <v>350218700143997</v>
      </c>
    </row>
    <row r="89" spans="3:17" x14ac:dyDescent="0.3">
      <c r="C89" s="2" t="s">
        <v>283</v>
      </c>
      <c r="D89" s="2">
        <v>2024</v>
      </c>
      <c r="E89" s="2" t="s">
        <v>164</v>
      </c>
      <c r="F89" s="2" t="s">
        <v>159</v>
      </c>
      <c r="G89" s="2" t="s">
        <v>19</v>
      </c>
      <c r="H89" s="9" t="s">
        <v>284</v>
      </c>
      <c r="I89" s="9" t="s">
        <v>170</v>
      </c>
      <c r="J89" s="2" t="s">
        <v>40</v>
      </c>
      <c r="K89" s="2" t="s">
        <v>23</v>
      </c>
      <c r="L89" s="2" t="s">
        <v>24</v>
      </c>
      <c r="M89" s="2" t="s">
        <v>106</v>
      </c>
      <c r="N89" s="2" t="s">
        <v>269</v>
      </c>
      <c r="O89" s="10">
        <v>169</v>
      </c>
      <c r="P89" t="s">
        <v>285</v>
      </c>
      <c r="Q89" t="str">
        <f>_xlfn.XLOOKUP(C:C,'[1]ErberthPereira-targetlist(20260'!$D:$D,'[1]ErberthPereira-targetlist(20260'!$C:$C)</f>
        <v>350218700100807</v>
      </c>
    </row>
    <row r="90" spans="3:17" x14ac:dyDescent="0.3">
      <c r="C90" s="2" t="s">
        <v>286</v>
      </c>
      <c r="D90" s="2">
        <v>2023</v>
      </c>
      <c r="E90" s="2" t="s">
        <v>17</v>
      </c>
      <c r="F90" s="2" t="s">
        <v>18</v>
      </c>
      <c r="G90" s="2" t="s">
        <v>19</v>
      </c>
      <c r="H90" s="9" t="s">
        <v>49</v>
      </c>
      <c r="I90" s="9" t="s">
        <v>287</v>
      </c>
      <c r="J90" s="2" t="s">
        <v>80</v>
      </c>
      <c r="K90" s="2" t="s">
        <v>51</v>
      </c>
      <c r="L90" s="2" t="s">
        <v>24</v>
      </c>
      <c r="M90" s="2" t="s">
        <v>106</v>
      </c>
      <c r="N90" s="2" t="s">
        <v>107</v>
      </c>
      <c r="O90" s="10">
        <v>169</v>
      </c>
      <c r="P90" t="s">
        <v>108</v>
      </c>
      <c r="Q90" t="str">
        <f>_xlfn.XLOOKUP(C:C,'[1]ErberthPereira-targetlist(20260'!$D:$D,'[1]ErberthPereira-targetlist(20260'!$C:$C)</f>
        <v>350218700205036</v>
      </c>
    </row>
    <row r="91" spans="3:17" x14ac:dyDescent="0.3">
      <c r="C91" s="2" t="s">
        <v>288</v>
      </c>
      <c r="D91" s="2">
        <v>2023</v>
      </c>
      <c r="E91" s="2" t="s">
        <v>164</v>
      </c>
      <c r="F91" s="2" t="s">
        <v>159</v>
      </c>
      <c r="G91" s="2" t="s">
        <v>19</v>
      </c>
      <c r="H91" s="9" t="s">
        <v>33</v>
      </c>
      <c r="I91" s="9" t="s">
        <v>166</v>
      </c>
      <c r="J91" s="2" t="s">
        <v>80</v>
      </c>
      <c r="K91" s="2" t="s">
        <v>33</v>
      </c>
      <c r="L91" s="2" t="s">
        <v>24</v>
      </c>
      <c r="M91" s="2" t="s">
        <v>106</v>
      </c>
      <c r="N91" s="2" t="s">
        <v>289</v>
      </c>
      <c r="O91" s="10">
        <v>169</v>
      </c>
      <c r="P91" t="s">
        <v>167</v>
      </c>
      <c r="Q91" t="str">
        <f>_xlfn.XLOOKUP(C:C,'[1]ErberthPereira-targetlist(20260'!$D:$D,'[1]ErberthPereira-targetlist(20260'!$C:$C)</f>
        <v>350218700166071</v>
      </c>
    </row>
    <row r="92" spans="3:17" x14ac:dyDescent="0.3">
      <c r="C92" s="2" t="s">
        <v>290</v>
      </c>
      <c r="D92" s="2">
        <v>2023</v>
      </c>
      <c r="E92" s="2" t="s">
        <v>164</v>
      </c>
      <c r="F92" s="2" t="s">
        <v>159</v>
      </c>
      <c r="G92" s="2" t="s">
        <v>19</v>
      </c>
      <c r="H92" s="9" t="s">
        <v>33</v>
      </c>
      <c r="I92" s="9" t="s">
        <v>166</v>
      </c>
      <c r="J92" s="2" t="s">
        <v>80</v>
      </c>
      <c r="K92" s="2" t="s">
        <v>33</v>
      </c>
      <c r="L92" s="2" t="s">
        <v>24</v>
      </c>
      <c r="M92" s="2" t="s">
        <v>106</v>
      </c>
      <c r="N92" s="2" t="s">
        <v>289</v>
      </c>
      <c r="O92" s="10">
        <v>169</v>
      </c>
      <c r="P92" t="s">
        <v>167</v>
      </c>
      <c r="Q92" t="str">
        <f>_xlfn.XLOOKUP(C:C,'[1]ErberthPereira-targetlist(20260'!$D:$D,'[1]ErberthPereira-targetlist(20260'!$C:$C)</f>
        <v>350218700190634</v>
      </c>
    </row>
    <row r="93" spans="3:17" x14ac:dyDescent="0.3">
      <c r="C93" s="2" t="s">
        <v>291</v>
      </c>
      <c r="D93" s="2">
        <v>2024</v>
      </c>
      <c r="E93" s="2" t="s">
        <v>292</v>
      </c>
      <c r="F93" s="2" t="s">
        <v>293</v>
      </c>
      <c r="G93" s="2" t="s">
        <v>19</v>
      </c>
      <c r="H93" s="9" t="s">
        <v>33</v>
      </c>
      <c r="I93" s="9" t="s">
        <v>294</v>
      </c>
      <c r="J93" s="2" t="s">
        <v>34</v>
      </c>
      <c r="K93" s="2" t="s">
        <v>33</v>
      </c>
      <c r="L93" s="2" t="s">
        <v>25</v>
      </c>
      <c r="M93" s="2" t="s">
        <v>223</v>
      </c>
      <c r="N93" s="2" t="s">
        <v>92</v>
      </c>
      <c r="O93">
        <v>127</v>
      </c>
      <c r="P93" t="s">
        <v>227</v>
      </c>
      <c r="Q93" t="str">
        <f>_xlfn.XLOOKUP(C:C,'[1]ErberthPereira-targetlist(20260'!$D:$D,'[1]ErberthPereira-targetlist(20260'!$C:$C)</f>
        <v>350218700172350</v>
      </c>
    </row>
    <row r="94" spans="3:17" x14ac:dyDescent="0.3">
      <c r="C94" s="2" t="s">
        <v>295</v>
      </c>
      <c r="D94" s="2">
        <v>2024</v>
      </c>
      <c r="E94" s="2" t="s">
        <v>292</v>
      </c>
      <c r="F94" s="2" t="s">
        <v>293</v>
      </c>
      <c r="G94" s="2" t="s">
        <v>19</v>
      </c>
      <c r="H94" s="9" t="s">
        <v>296</v>
      </c>
      <c r="I94" s="9" t="s">
        <v>297</v>
      </c>
      <c r="J94" s="2" t="s">
        <v>22</v>
      </c>
      <c r="K94" s="2" t="s">
        <v>23</v>
      </c>
      <c r="L94" s="2" t="s">
        <v>61</v>
      </c>
      <c r="M94" s="2" t="s">
        <v>74</v>
      </c>
      <c r="N94" s="2" t="s">
        <v>298</v>
      </c>
      <c r="O94">
        <v>127</v>
      </c>
      <c r="P94" t="s">
        <v>75</v>
      </c>
      <c r="Q94" t="str">
        <f>_xlfn.XLOOKUP(C:C,'[1]ErberthPereira-targetlist(20260'!$D:$D,'[1]ErberthPereira-targetlist(20260'!$C:$C)</f>
        <v>350218700188752</v>
      </c>
    </row>
    <row r="95" spans="3:17" x14ac:dyDescent="0.3">
      <c r="C95" s="2" t="s">
        <v>299</v>
      </c>
      <c r="D95" s="2">
        <v>2023</v>
      </c>
      <c r="E95" s="2" t="s">
        <v>300</v>
      </c>
      <c r="F95" s="2" t="s">
        <v>301</v>
      </c>
      <c r="G95" s="2" t="s">
        <v>231</v>
      </c>
      <c r="H95" s="9" t="s">
        <v>33</v>
      </c>
      <c r="I95" s="9" t="s">
        <v>302</v>
      </c>
      <c r="J95" s="2" t="s">
        <v>34</v>
      </c>
      <c r="K95" s="2" t="s">
        <v>33</v>
      </c>
      <c r="L95" s="2" t="s">
        <v>61</v>
      </c>
      <c r="M95" s="2" t="s">
        <v>74</v>
      </c>
      <c r="N95" s="2" t="s">
        <v>303</v>
      </c>
      <c r="O95">
        <v>127</v>
      </c>
      <c r="P95" t="s">
        <v>304</v>
      </c>
      <c r="Q95" t="str">
        <f>_xlfn.XLOOKUP(C:C,'[1]ErberthPereira-targetlist(20260'!$D:$D,'[1]ErberthPereira-targetlist(20260'!$C:$C)</f>
        <v>350218700187903</v>
      </c>
    </row>
    <row r="96" spans="3:17" x14ac:dyDescent="0.3">
      <c r="C96" s="2" t="s">
        <v>305</v>
      </c>
      <c r="D96" s="2">
        <v>2024</v>
      </c>
      <c r="E96" s="2" t="s">
        <v>292</v>
      </c>
      <c r="F96" s="2" t="s">
        <v>293</v>
      </c>
      <c r="G96" s="2" t="s">
        <v>19</v>
      </c>
      <c r="H96" s="9" t="s">
        <v>296</v>
      </c>
      <c r="I96" s="9" t="s">
        <v>186</v>
      </c>
      <c r="J96" s="2" t="s">
        <v>139</v>
      </c>
      <c r="K96" s="2" t="s">
        <v>23</v>
      </c>
      <c r="L96" s="2" t="s">
        <v>61</v>
      </c>
      <c r="M96" s="2" t="s">
        <v>74</v>
      </c>
      <c r="N96" s="2" t="s">
        <v>298</v>
      </c>
      <c r="O96">
        <v>127</v>
      </c>
      <c r="P96" t="s">
        <v>75</v>
      </c>
      <c r="Q96" t="str">
        <f>_xlfn.XLOOKUP(C:C,'[1]ErberthPereira-targetlist(20260'!$D:$D,'[1]ErberthPereira-targetlist(20260'!$C:$C)</f>
        <v>350218700114212</v>
      </c>
    </row>
    <row r="97" spans="3:17" x14ac:dyDescent="0.3">
      <c r="C97" s="2" t="s">
        <v>306</v>
      </c>
      <c r="D97" s="2">
        <v>2024</v>
      </c>
      <c r="E97" s="2" t="s">
        <v>307</v>
      </c>
      <c r="F97" s="2" t="s">
        <v>293</v>
      </c>
      <c r="G97" s="2" t="s">
        <v>19</v>
      </c>
      <c r="H97" s="9" t="s">
        <v>296</v>
      </c>
      <c r="I97" s="9" t="s">
        <v>308</v>
      </c>
      <c r="J97" s="2" t="s">
        <v>40</v>
      </c>
      <c r="K97" s="2" t="s">
        <v>23</v>
      </c>
      <c r="L97" s="2" t="s">
        <v>61</v>
      </c>
      <c r="M97" s="2" t="s">
        <v>62</v>
      </c>
      <c r="N97" s="2" t="s">
        <v>298</v>
      </c>
      <c r="O97" s="10">
        <v>169</v>
      </c>
      <c r="P97" t="s">
        <v>64</v>
      </c>
      <c r="Q97" t="str">
        <f>_xlfn.XLOOKUP(C:C,'[1]ErberthPereira-targetlist(20260'!$D:$D,'[1]ErberthPereira-targetlist(20260'!$C:$C)</f>
        <v>350218700226735</v>
      </c>
    </row>
    <row r="98" spans="3:17" x14ac:dyDescent="0.3">
      <c r="C98" s="2" t="s">
        <v>309</v>
      </c>
      <c r="D98" s="2">
        <v>2024</v>
      </c>
      <c r="E98" s="2" t="s">
        <v>307</v>
      </c>
      <c r="F98" s="2" t="s">
        <v>293</v>
      </c>
      <c r="G98" s="2" t="s">
        <v>19</v>
      </c>
      <c r="H98" s="9" t="s">
        <v>296</v>
      </c>
      <c r="I98" s="9" t="s">
        <v>310</v>
      </c>
      <c r="J98" s="2" t="s">
        <v>40</v>
      </c>
      <c r="K98" s="2" t="s">
        <v>23</v>
      </c>
      <c r="L98" s="2" t="s">
        <v>61</v>
      </c>
      <c r="M98" s="2" t="s">
        <v>62</v>
      </c>
      <c r="N98" s="2" t="s">
        <v>298</v>
      </c>
      <c r="O98" s="10">
        <v>169</v>
      </c>
      <c r="P98" t="s">
        <v>64</v>
      </c>
      <c r="Q98" t="str">
        <f>_xlfn.XLOOKUP(C:C,'[1]ErberthPereira-targetlist(20260'!$D:$D,'[1]ErberthPereira-targetlist(20260'!$C:$C)</f>
        <v>350218700002649</v>
      </c>
    </row>
    <row r="99" spans="3:17" x14ac:dyDescent="0.3">
      <c r="C99" s="2" t="s">
        <v>311</v>
      </c>
      <c r="D99" s="2">
        <v>2023</v>
      </c>
      <c r="E99" s="2" t="s">
        <v>229</v>
      </c>
      <c r="F99" s="2" t="s">
        <v>230</v>
      </c>
      <c r="G99" s="2" t="s">
        <v>231</v>
      </c>
      <c r="H99" s="9" t="s">
        <v>312</v>
      </c>
      <c r="I99" s="9" t="s">
        <v>313</v>
      </c>
      <c r="J99" s="2" t="s">
        <v>34</v>
      </c>
      <c r="K99" s="2" t="s">
        <v>23</v>
      </c>
      <c r="L99" s="2" t="s">
        <v>61</v>
      </c>
      <c r="M99" s="2" t="s">
        <v>74</v>
      </c>
      <c r="N99" s="2" t="s">
        <v>314</v>
      </c>
      <c r="O99">
        <v>127</v>
      </c>
      <c r="P99" t="s">
        <v>315</v>
      </c>
      <c r="Q99" t="str">
        <f>_xlfn.XLOOKUP(C:C,'[1]ErberthPereira-targetlist(20260'!$D:$D,'[1]ErberthPereira-targetlist(20260'!$C:$C)</f>
        <v>350218700237351</v>
      </c>
    </row>
    <row r="100" spans="3:17" x14ac:dyDescent="0.3">
      <c r="C100" s="2" t="s">
        <v>316</v>
      </c>
      <c r="D100" s="2">
        <v>2024</v>
      </c>
      <c r="E100" s="2" t="s">
        <v>292</v>
      </c>
      <c r="F100" s="2" t="s">
        <v>293</v>
      </c>
      <c r="G100" s="2" t="s">
        <v>19</v>
      </c>
      <c r="H100" s="9" t="s">
        <v>296</v>
      </c>
      <c r="I100" s="9" t="s">
        <v>73</v>
      </c>
      <c r="J100" s="2" t="s">
        <v>22</v>
      </c>
      <c r="K100" s="2" t="s">
        <v>23</v>
      </c>
      <c r="L100" s="2" t="s">
        <v>61</v>
      </c>
      <c r="M100" s="2" t="s">
        <v>74</v>
      </c>
      <c r="N100" s="2" t="s">
        <v>298</v>
      </c>
      <c r="O100">
        <v>127</v>
      </c>
      <c r="P100" t="s">
        <v>75</v>
      </c>
      <c r="Q100" t="str">
        <f>_xlfn.XLOOKUP(C:C,'[1]ErberthPereira-targetlist(20260'!$D:$D,'[1]ErberthPereira-targetlist(20260'!$C:$C)</f>
        <v>350218700215019</v>
      </c>
    </row>
    <row r="101" spans="3:17" x14ac:dyDescent="0.3">
      <c r="C101" s="2" t="s">
        <v>317</v>
      </c>
      <c r="D101" s="2">
        <v>2024</v>
      </c>
      <c r="E101" s="2" t="s">
        <v>292</v>
      </c>
      <c r="F101" s="2" t="s">
        <v>293</v>
      </c>
      <c r="G101" s="2" t="s">
        <v>19</v>
      </c>
      <c r="H101" s="9" t="s">
        <v>95</v>
      </c>
      <c r="I101" s="9" t="s">
        <v>39</v>
      </c>
      <c r="J101" s="2" t="s">
        <v>34</v>
      </c>
      <c r="K101" s="2" t="s">
        <v>23</v>
      </c>
      <c r="L101" s="2" t="s">
        <v>41</v>
      </c>
      <c r="M101" s="2" t="s">
        <v>318</v>
      </c>
      <c r="N101" s="11" t="s">
        <v>319</v>
      </c>
      <c r="O101">
        <v>169</v>
      </c>
      <c r="P101" t="s">
        <v>44</v>
      </c>
      <c r="Q101" t="str">
        <f>_xlfn.XLOOKUP(C:C,'[1]ErberthPereira-targetlist(20260'!$D:$D,'[1]ErberthPereira-targetlist(20260'!$C:$C)</f>
        <v>350218700121126</v>
      </c>
    </row>
    <row r="102" spans="3:17" x14ac:dyDescent="0.3">
      <c r="C102" s="2" t="s">
        <v>320</v>
      </c>
      <c r="D102" s="2">
        <v>2024</v>
      </c>
      <c r="E102" s="2" t="s">
        <v>292</v>
      </c>
      <c r="F102" s="2" t="s">
        <v>293</v>
      </c>
      <c r="G102" s="2" t="s">
        <v>19</v>
      </c>
      <c r="H102" s="9" t="s">
        <v>33</v>
      </c>
      <c r="I102" s="9" t="s">
        <v>294</v>
      </c>
      <c r="J102" s="2" t="s">
        <v>34</v>
      </c>
      <c r="K102" s="2" t="s">
        <v>33</v>
      </c>
      <c r="L102" s="2" t="s">
        <v>25</v>
      </c>
      <c r="M102" s="2" t="s">
        <v>223</v>
      </c>
      <c r="N102" s="2" t="s">
        <v>92</v>
      </c>
      <c r="O102" s="10">
        <v>169</v>
      </c>
      <c r="P102" t="s">
        <v>321</v>
      </c>
      <c r="Q102" t="str">
        <f>_xlfn.XLOOKUP(C:C,'[1]ErberthPereira-targetlist(20260'!$D:$D,'[1]ErberthPereira-targetlist(20260'!$C:$C)</f>
        <v>350218700165016</v>
      </c>
    </row>
    <row r="103" spans="3:17" x14ac:dyDescent="0.3">
      <c r="C103" s="2" t="s">
        <v>322</v>
      </c>
      <c r="D103" s="2">
        <v>2024</v>
      </c>
      <c r="E103" s="2" t="s">
        <v>292</v>
      </c>
      <c r="F103" s="2" t="s">
        <v>293</v>
      </c>
      <c r="G103" s="2" t="s">
        <v>19</v>
      </c>
      <c r="H103" s="9" t="s">
        <v>33</v>
      </c>
      <c r="I103" s="9" t="s">
        <v>21</v>
      </c>
      <c r="J103" s="2" t="s">
        <v>22</v>
      </c>
      <c r="K103" s="2" t="s">
        <v>33</v>
      </c>
      <c r="L103" s="2" t="s">
        <v>25</v>
      </c>
      <c r="M103" s="2" t="s">
        <v>223</v>
      </c>
      <c r="N103" s="2" t="s">
        <v>92</v>
      </c>
      <c r="O103">
        <v>127</v>
      </c>
      <c r="P103" t="s">
        <v>227</v>
      </c>
      <c r="Q103" t="str">
        <f>_xlfn.XLOOKUP(C:C,'[1]ErberthPereira-targetlist(20260'!$D:$D,'[1]ErberthPereira-targetlist(20260'!$C:$C)</f>
        <v>350218700131059</v>
      </c>
    </row>
    <row r="104" spans="3:17" x14ac:dyDescent="0.3">
      <c r="C104" s="2" t="s">
        <v>323</v>
      </c>
      <c r="D104" s="2">
        <v>2024</v>
      </c>
      <c r="E104" s="2" t="s">
        <v>292</v>
      </c>
      <c r="F104" s="2" t="s">
        <v>293</v>
      </c>
      <c r="G104" s="2" t="s">
        <v>19</v>
      </c>
      <c r="H104" s="9" t="s">
        <v>33</v>
      </c>
      <c r="I104" s="9" t="s">
        <v>294</v>
      </c>
      <c r="J104" s="2" t="s">
        <v>34</v>
      </c>
      <c r="K104" s="2" t="s">
        <v>33</v>
      </c>
      <c r="L104" s="2" t="s">
        <v>25</v>
      </c>
      <c r="M104" s="2" t="s">
        <v>223</v>
      </c>
      <c r="N104" s="2" t="s">
        <v>92</v>
      </c>
      <c r="O104">
        <v>127</v>
      </c>
      <c r="P104" t="s">
        <v>227</v>
      </c>
      <c r="Q104" t="str">
        <f>_xlfn.XLOOKUP(C:C,'[1]ErberthPereira-targetlist(20260'!$D:$D,'[1]ErberthPereira-targetlist(20260'!$C:$C)</f>
        <v>350218700175627</v>
      </c>
    </row>
    <row r="105" spans="3:17" x14ac:dyDescent="0.3">
      <c r="C105" s="2" t="s">
        <v>324</v>
      </c>
      <c r="D105" s="2">
        <v>2024</v>
      </c>
      <c r="E105" s="2" t="s">
        <v>292</v>
      </c>
      <c r="F105" s="2" t="s">
        <v>293</v>
      </c>
      <c r="G105" s="2" t="s">
        <v>19</v>
      </c>
      <c r="H105" s="9" t="s">
        <v>325</v>
      </c>
      <c r="I105" s="9" t="s">
        <v>326</v>
      </c>
      <c r="J105" s="2" t="s">
        <v>114</v>
      </c>
      <c r="K105" s="2" t="s">
        <v>23</v>
      </c>
      <c r="L105" s="2" t="s">
        <v>150</v>
      </c>
      <c r="M105" s="2" t="s">
        <v>151</v>
      </c>
      <c r="N105" s="2" t="s">
        <v>298</v>
      </c>
      <c r="O105" s="10">
        <v>170</v>
      </c>
      <c r="P105" t="s">
        <v>153</v>
      </c>
      <c r="Q105" t="str">
        <f>_xlfn.XLOOKUP(C:C,'[1]ErberthPereira-targetlist(20260'!$D:$D,'[1]ErberthPereira-targetlist(20260'!$C:$C)</f>
        <v>350218700106069</v>
      </c>
    </row>
    <row r="106" spans="3:17" x14ac:dyDescent="0.3">
      <c r="C106" s="2" t="s">
        <v>327</v>
      </c>
      <c r="D106" s="2">
        <v>2024</v>
      </c>
      <c r="E106" s="2" t="s">
        <v>292</v>
      </c>
      <c r="F106" s="2" t="s">
        <v>293</v>
      </c>
      <c r="G106" s="2" t="s">
        <v>19</v>
      </c>
      <c r="H106" s="9" t="s">
        <v>33</v>
      </c>
      <c r="I106" s="9" t="s">
        <v>294</v>
      </c>
      <c r="J106" s="2" t="s">
        <v>34</v>
      </c>
      <c r="K106" s="2" t="s">
        <v>33</v>
      </c>
      <c r="L106" s="2" t="s">
        <v>25</v>
      </c>
      <c r="M106" s="2" t="s">
        <v>223</v>
      </c>
      <c r="N106" s="2" t="s">
        <v>92</v>
      </c>
      <c r="O106">
        <v>127</v>
      </c>
      <c r="P106" t="s">
        <v>75</v>
      </c>
      <c r="Q106" t="str">
        <f>_xlfn.XLOOKUP(C:C,'[1]ErberthPereira-targetlist(20260'!$D:$D,'[1]ErberthPereira-targetlist(20260'!$C:$C)</f>
        <v>350218700284148</v>
      </c>
    </row>
    <row r="107" spans="3:17" x14ac:dyDescent="0.3">
      <c r="C107" s="2" t="s">
        <v>328</v>
      </c>
      <c r="D107" s="2">
        <v>2024</v>
      </c>
      <c r="E107" s="2" t="s">
        <v>292</v>
      </c>
      <c r="F107" s="2" t="s">
        <v>293</v>
      </c>
      <c r="G107" s="2" t="s">
        <v>19</v>
      </c>
      <c r="H107" s="9" t="s">
        <v>296</v>
      </c>
      <c r="I107" s="9" t="s">
        <v>186</v>
      </c>
      <c r="J107" s="2" t="s">
        <v>139</v>
      </c>
      <c r="K107" s="2" t="s">
        <v>23</v>
      </c>
      <c r="L107" s="2" t="s">
        <v>61</v>
      </c>
      <c r="M107" s="2" t="s">
        <v>74</v>
      </c>
      <c r="N107" s="2" t="s">
        <v>298</v>
      </c>
      <c r="O107">
        <v>127</v>
      </c>
      <c r="P107" t="s">
        <v>75</v>
      </c>
      <c r="Q107" t="str">
        <f>_xlfn.XLOOKUP(C:C,'[1]ErberthPereira-targetlist(20260'!$D:$D,'[1]ErberthPereira-targetlist(20260'!$C:$C)</f>
        <v>350218700158078</v>
      </c>
    </row>
    <row r="108" spans="3:17" x14ac:dyDescent="0.3">
      <c r="C108" s="2" t="s">
        <v>329</v>
      </c>
      <c r="D108" s="2">
        <v>2023</v>
      </c>
      <c r="E108" s="2" t="s">
        <v>229</v>
      </c>
      <c r="F108" s="2" t="s">
        <v>230</v>
      </c>
      <c r="G108" s="2" t="s">
        <v>231</v>
      </c>
      <c r="H108" s="9" t="s">
        <v>330</v>
      </c>
      <c r="I108" s="9" t="s">
        <v>313</v>
      </c>
      <c r="J108" s="2" t="s">
        <v>34</v>
      </c>
      <c r="K108" s="2" t="s">
        <v>23</v>
      </c>
      <c r="L108" s="2" t="s">
        <v>61</v>
      </c>
      <c r="M108" s="2" t="s">
        <v>74</v>
      </c>
      <c r="N108" s="2" t="s">
        <v>314</v>
      </c>
      <c r="O108">
        <v>127</v>
      </c>
      <c r="P108" t="s">
        <v>315</v>
      </c>
      <c r="Q108" t="str">
        <f>_xlfn.XLOOKUP(C:C,'[1]ErberthPereira-targetlist(20260'!$D:$D,'[1]ErberthPereira-targetlist(20260'!$C:$C)</f>
        <v>350218700163656</v>
      </c>
    </row>
    <row r="109" spans="3:17" x14ac:dyDescent="0.3">
      <c r="C109" s="2" t="s">
        <v>331</v>
      </c>
      <c r="D109" s="2">
        <v>2023</v>
      </c>
      <c r="E109" s="2" t="s">
        <v>164</v>
      </c>
      <c r="F109" s="2" t="s">
        <v>159</v>
      </c>
      <c r="G109" s="2" t="s">
        <v>19</v>
      </c>
      <c r="H109" s="9" t="s">
        <v>33</v>
      </c>
      <c r="I109" s="9" t="s">
        <v>135</v>
      </c>
      <c r="J109" s="2" t="s">
        <v>34</v>
      </c>
      <c r="K109" s="2" t="s">
        <v>33</v>
      </c>
      <c r="L109" s="2" t="s">
        <v>24</v>
      </c>
      <c r="M109" s="2" t="s">
        <v>31</v>
      </c>
      <c r="N109" s="2" t="s">
        <v>332</v>
      </c>
      <c r="O109">
        <v>127</v>
      </c>
      <c r="P109" t="s">
        <v>162</v>
      </c>
      <c r="Q109" t="str">
        <f>_xlfn.XLOOKUP(C:C,'[1]ErberthPereira-targetlist(20260'!$D:$D,'[1]ErberthPereira-targetlist(20260'!$C:$C)</f>
        <v>350218700219532</v>
      </c>
    </row>
    <row r="110" spans="3:17" x14ac:dyDescent="0.3">
      <c r="C110" s="2" t="s">
        <v>333</v>
      </c>
      <c r="D110" s="2">
        <v>2023</v>
      </c>
      <c r="E110" s="2" t="s">
        <v>164</v>
      </c>
      <c r="F110" s="2" t="s">
        <v>159</v>
      </c>
      <c r="G110" s="2" t="s">
        <v>19</v>
      </c>
      <c r="H110" s="9" t="s">
        <v>334</v>
      </c>
      <c r="I110" s="9" t="s">
        <v>170</v>
      </c>
      <c r="J110" s="2" t="s">
        <v>40</v>
      </c>
      <c r="K110" s="2" t="s">
        <v>23</v>
      </c>
      <c r="L110" s="2" t="s">
        <v>24</v>
      </c>
      <c r="M110" s="2" t="s">
        <v>106</v>
      </c>
      <c r="N110" s="2" t="s">
        <v>171</v>
      </c>
      <c r="O110" s="10">
        <v>169</v>
      </c>
      <c r="P110" t="s">
        <v>167</v>
      </c>
      <c r="Q110" t="str">
        <f>_xlfn.XLOOKUP(C:C,'[1]ErberthPereira-targetlist(20260'!$D:$D,'[1]ErberthPereira-targetlist(20260'!$C:$C)</f>
        <v>350218700107364</v>
      </c>
    </row>
    <row r="111" spans="3:17" x14ac:dyDescent="0.3">
      <c r="C111" s="2" t="s">
        <v>335</v>
      </c>
      <c r="D111" s="2">
        <v>2023</v>
      </c>
      <c r="E111" s="2" t="s">
        <v>164</v>
      </c>
      <c r="F111" s="2" t="s">
        <v>159</v>
      </c>
      <c r="G111" s="2" t="s">
        <v>19</v>
      </c>
      <c r="H111" s="9" t="s">
        <v>336</v>
      </c>
      <c r="I111" s="9" t="s">
        <v>170</v>
      </c>
      <c r="J111" s="2" t="s">
        <v>40</v>
      </c>
      <c r="K111" s="2" t="s">
        <v>23</v>
      </c>
      <c r="L111" s="2" t="s">
        <v>24</v>
      </c>
      <c r="M111" s="2" t="s">
        <v>106</v>
      </c>
      <c r="N111" s="2" t="s">
        <v>161</v>
      </c>
      <c r="O111" s="10">
        <v>169</v>
      </c>
      <c r="P111" t="s">
        <v>167</v>
      </c>
      <c r="Q111" t="str">
        <f>_xlfn.XLOOKUP(C:C,'[1]ErberthPereira-targetlist(20260'!$D:$D,'[1]ErberthPereira-targetlist(20260'!$C:$C)</f>
        <v>350218700108669</v>
      </c>
    </row>
    <row r="112" spans="3:17" x14ac:dyDescent="0.3">
      <c r="C112" s="2" t="s">
        <v>337</v>
      </c>
      <c r="D112" s="2">
        <v>2023</v>
      </c>
      <c r="E112" s="2" t="s">
        <v>164</v>
      </c>
      <c r="F112" s="2" t="s">
        <v>159</v>
      </c>
      <c r="G112" s="2" t="s">
        <v>19</v>
      </c>
      <c r="H112" s="9" t="s">
        <v>33</v>
      </c>
      <c r="I112" s="9" t="s">
        <v>166</v>
      </c>
      <c r="J112" s="2" t="s">
        <v>80</v>
      </c>
      <c r="K112" s="2" t="s">
        <v>33</v>
      </c>
      <c r="L112" s="2" t="s">
        <v>24</v>
      </c>
      <c r="M112" s="2" t="s">
        <v>106</v>
      </c>
      <c r="N112" s="2" t="s">
        <v>332</v>
      </c>
      <c r="O112" s="10">
        <v>169</v>
      </c>
      <c r="P112" t="s">
        <v>167</v>
      </c>
      <c r="Q112" t="str">
        <f>_xlfn.XLOOKUP(C:C,'[1]ErberthPereira-targetlist(20260'!$D:$D,'[1]ErberthPereira-targetlist(20260'!$C:$C)</f>
        <v>350218700220928</v>
      </c>
    </row>
    <row r="113" spans="3:17" x14ac:dyDescent="0.3">
      <c r="C113" s="2" t="s">
        <v>338</v>
      </c>
      <c r="D113" s="2">
        <v>2023</v>
      </c>
      <c r="E113" s="2" t="s">
        <v>164</v>
      </c>
      <c r="F113" s="2" t="s">
        <v>159</v>
      </c>
      <c r="G113" s="2" t="s">
        <v>19</v>
      </c>
      <c r="H113" s="9" t="s">
        <v>339</v>
      </c>
      <c r="I113" s="9" t="s">
        <v>30</v>
      </c>
      <c r="J113" s="2" t="s">
        <v>22</v>
      </c>
      <c r="K113" s="2" t="s">
        <v>23</v>
      </c>
      <c r="L113" s="2" t="s">
        <v>24</v>
      </c>
      <c r="M113" s="2" t="s">
        <v>31</v>
      </c>
      <c r="N113" s="2" t="s">
        <v>171</v>
      </c>
      <c r="O113">
        <v>127</v>
      </c>
      <c r="P113" t="s">
        <v>162</v>
      </c>
      <c r="Q113" t="str">
        <f>_xlfn.XLOOKUP(C:C,'[1]ErberthPereira-targetlist(20260'!$D:$D,'[1]ErberthPereira-targetlist(20260'!$C:$C)</f>
        <v>350218700175809</v>
      </c>
    </row>
    <row r="114" spans="3:17" x14ac:dyDescent="0.3">
      <c r="C114" s="2" t="s">
        <v>340</v>
      </c>
      <c r="D114" s="2">
        <v>2023</v>
      </c>
      <c r="E114" s="2" t="s">
        <v>164</v>
      </c>
      <c r="F114" s="2" t="s">
        <v>159</v>
      </c>
      <c r="G114" s="2" t="s">
        <v>19</v>
      </c>
      <c r="H114" s="9" t="s">
        <v>341</v>
      </c>
      <c r="I114" s="9" t="s">
        <v>142</v>
      </c>
      <c r="J114" s="2" t="s">
        <v>139</v>
      </c>
      <c r="K114" s="2" t="s">
        <v>23</v>
      </c>
      <c r="L114" s="2" t="s">
        <v>24</v>
      </c>
      <c r="M114" s="2" t="s">
        <v>31</v>
      </c>
      <c r="N114" s="2" t="s">
        <v>171</v>
      </c>
      <c r="O114">
        <v>127</v>
      </c>
      <c r="P114" t="s">
        <v>162</v>
      </c>
      <c r="Q114" t="str">
        <f>_xlfn.XLOOKUP(C:C,'[1]ErberthPereira-targetlist(20260'!$D:$D,'[1]ErberthPereira-targetlist(20260'!$C:$C)</f>
        <v>350218700151560</v>
      </c>
    </row>
    <row r="115" spans="3:17" x14ac:dyDescent="0.3">
      <c r="C115" s="2" t="s">
        <v>342</v>
      </c>
      <c r="D115" s="2">
        <v>2023</v>
      </c>
      <c r="E115" s="2" t="s">
        <v>164</v>
      </c>
      <c r="F115" s="2" t="s">
        <v>159</v>
      </c>
      <c r="G115" s="2" t="s">
        <v>19</v>
      </c>
      <c r="H115" s="9" t="s">
        <v>343</v>
      </c>
      <c r="I115" s="9" t="s">
        <v>142</v>
      </c>
      <c r="J115" s="2" t="s">
        <v>139</v>
      </c>
      <c r="K115" s="2" t="s">
        <v>23</v>
      </c>
      <c r="L115" s="2" t="s">
        <v>24</v>
      </c>
      <c r="M115" s="2" t="s">
        <v>31</v>
      </c>
      <c r="N115" s="2" t="s">
        <v>161</v>
      </c>
      <c r="O115">
        <v>127</v>
      </c>
      <c r="P115" t="s">
        <v>162</v>
      </c>
      <c r="Q115" t="str">
        <f>_xlfn.XLOOKUP(C:C,'[1]ErberthPereira-targetlist(20260'!$D:$D,'[1]ErberthPereira-targetlist(20260'!$C:$C)</f>
        <v>350218700103124</v>
      </c>
    </row>
    <row r="116" spans="3:17" x14ac:dyDescent="0.3">
      <c r="C116" s="2" t="s">
        <v>344</v>
      </c>
      <c r="D116" s="2">
        <v>2023</v>
      </c>
      <c r="E116" s="2" t="s">
        <v>164</v>
      </c>
      <c r="F116" s="2" t="s">
        <v>159</v>
      </c>
      <c r="G116" s="2" t="s">
        <v>19</v>
      </c>
      <c r="H116" s="9" t="s">
        <v>345</v>
      </c>
      <c r="I116" s="9" t="s">
        <v>30</v>
      </c>
      <c r="J116" s="2" t="s">
        <v>22</v>
      </c>
      <c r="K116" s="2" t="s">
        <v>23</v>
      </c>
      <c r="L116" s="2" t="s">
        <v>24</v>
      </c>
      <c r="M116" s="2" t="s">
        <v>31</v>
      </c>
      <c r="N116" s="2" t="s">
        <v>171</v>
      </c>
      <c r="O116">
        <v>127</v>
      </c>
      <c r="P116" t="s">
        <v>162</v>
      </c>
      <c r="Q116" t="str">
        <f>_xlfn.XLOOKUP(C:C,'[1]ErberthPereira-targetlist(20260'!$D:$D,'[1]ErberthPereira-targetlist(20260'!$C:$C)</f>
        <v>350218700204310</v>
      </c>
    </row>
    <row r="117" spans="3:17" x14ac:dyDescent="0.3">
      <c r="C117" s="2" t="s">
        <v>346</v>
      </c>
      <c r="D117" s="2">
        <v>2023</v>
      </c>
      <c r="E117" s="2" t="s">
        <v>164</v>
      </c>
      <c r="F117" s="2" t="s">
        <v>159</v>
      </c>
      <c r="G117" s="2" t="s">
        <v>19</v>
      </c>
      <c r="H117" s="9" t="s">
        <v>347</v>
      </c>
      <c r="I117" s="9" t="s">
        <v>142</v>
      </c>
      <c r="J117" s="2" t="s">
        <v>139</v>
      </c>
      <c r="K117" s="2" t="s">
        <v>23</v>
      </c>
      <c r="L117" s="2" t="s">
        <v>24</v>
      </c>
      <c r="M117" s="2" t="s">
        <v>31</v>
      </c>
      <c r="N117" s="2" t="s">
        <v>171</v>
      </c>
      <c r="O117">
        <v>127</v>
      </c>
      <c r="P117" t="s">
        <v>162</v>
      </c>
      <c r="Q117" t="str">
        <f>_xlfn.XLOOKUP(C:C,'[1]ErberthPereira-targetlist(20260'!$D:$D,'[1]ErberthPereira-targetlist(20260'!$C:$C)</f>
        <v>350218700197720</v>
      </c>
    </row>
    <row r="118" spans="3:17" x14ac:dyDescent="0.3">
      <c r="C118" s="2" t="s">
        <v>348</v>
      </c>
      <c r="D118" s="2">
        <v>2023</v>
      </c>
      <c r="E118" s="2" t="s">
        <v>164</v>
      </c>
      <c r="F118" s="2" t="s">
        <v>159</v>
      </c>
      <c r="G118" s="2" t="s">
        <v>19</v>
      </c>
      <c r="H118" s="9" t="s">
        <v>349</v>
      </c>
      <c r="I118" s="9" t="s">
        <v>142</v>
      </c>
      <c r="J118" s="2" t="s">
        <v>139</v>
      </c>
      <c r="K118" s="2" t="s">
        <v>23</v>
      </c>
      <c r="L118" s="2" t="s">
        <v>24</v>
      </c>
      <c r="M118" s="2" t="s">
        <v>31</v>
      </c>
      <c r="N118" s="2" t="s">
        <v>161</v>
      </c>
      <c r="O118">
        <v>127</v>
      </c>
      <c r="P118" t="s">
        <v>162</v>
      </c>
      <c r="Q118" t="str">
        <f>_xlfn.XLOOKUP(C:C,'[1]ErberthPereira-targetlist(20260'!$D:$D,'[1]ErberthPereira-targetlist(20260'!$C:$C)</f>
        <v>350218700136611</v>
      </c>
    </row>
    <row r="119" spans="3:17" x14ac:dyDescent="0.3">
      <c r="C119" s="2" t="s">
        <v>350</v>
      </c>
      <c r="D119" s="2">
        <v>2023</v>
      </c>
      <c r="E119" s="2" t="s">
        <v>164</v>
      </c>
      <c r="F119" s="2" t="s">
        <v>159</v>
      </c>
      <c r="G119" s="2" t="s">
        <v>19</v>
      </c>
      <c r="H119" s="9" t="s">
        <v>351</v>
      </c>
      <c r="I119" s="9" t="s">
        <v>170</v>
      </c>
      <c r="J119" s="2" t="s">
        <v>40</v>
      </c>
      <c r="K119" s="2" t="s">
        <v>23</v>
      </c>
      <c r="L119" s="2" t="s">
        <v>24</v>
      </c>
      <c r="M119" s="2" t="s">
        <v>106</v>
      </c>
      <c r="N119" s="2" t="s">
        <v>161</v>
      </c>
      <c r="O119" s="10">
        <v>169</v>
      </c>
      <c r="P119" t="s">
        <v>167</v>
      </c>
      <c r="Q119" t="str">
        <f>_xlfn.XLOOKUP(C:C,'[1]ErberthPereira-targetlist(20260'!$D:$D,'[1]ErberthPereira-targetlist(20260'!$C:$C)</f>
        <v>350218700205150</v>
      </c>
    </row>
    <row r="120" spans="3:17" x14ac:dyDescent="0.3">
      <c r="C120" s="2" t="s">
        <v>352</v>
      </c>
      <c r="D120" s="2">
        <v>2023</v>
      </c>
      <c r="E120" s="2" t="s">
        <v>17</v>
      </c>
      <c r="F120" s="2" t="s">
        <v>18</v>
      </c>
      <c r="G120" s="2" t="s">
        <v>19</v>
      </c>
      <c r="H120" s="9" t="s">
        <v>353</v>
      </c>
      <c r="I120" s="9" t="s">
        <v>30</v>
      </c>
      <c r="J120" s="2" t="s">
        <v>22</v>
      </c>
      <c r="K120" s="2" t="s">
        <v>23</v>
      </c>
      <c r="L120" s="2" t="s">
        <v>24</v>
      </c>
      <c r="M120" s="2" t="s">
        <v>31</v>
      </c>
      <c r="N120" s="2" t="s">
        <v>26</v>
      </c>
      <c r="O120">
        <v>127</v>
      </c>
      <c r="P120" t="s">
        <v>27</v>
      </c>
      <c r="Q120" t="str">
        <f>_xlfn.XLOOKUP(C:C,'[1]ErberthPereira-targetlist(20260'!$D:$D,'[1]ErberthPereira-targetlist(20260'!$C:$C)</f>
        <v>350218700107760</v>
      </c>
    </row>
    <row r="121" spans="3:17" x14ac:dyDescent="0.3">
      <c r="C121" s="2" t="s">
        <v>354</v>
      </c>
      <c r="D121" s="2">
        <v>2023</v>
      </c>
      <c r="E121" s="2" t="s">
        <v>17</v>
      </c>
      <c r="F121" s="2" t="s">
        <v>18</v>
      </c>
      <c r="G121" s="2" t="s">
        <v>19</v>
      </c>
      <c r="H121" s="9" t="s">
        <v>59</v>
      </c>
      <c r="I121" s="9" t="s">
        <v>355</v>
      </c>
      <c r="J121" s="2" t="s">
        <v>139</v>
      </c>
      <c r="K121" s="2" t="s">
        <v>23</v>
      </c>
      <c r="L121" s="2" t="s">
        <v>61</v>
      </c>
      <c r="M121" s="2" t="s">
        <v>74</v>
      </c>
      <c r="N121" s="2" t="s">
        <v>356</v>
      </c>
      <c r="O121">
        <v>127</v>
      </c>
      <c r="P121" t="s">
        <v>75</v>
      </c>
      <c r="Q121" t="str">
        <f>_xlfn.XLOOKUP(C:C,'[1]ErberthPereira-targetlist(20260'!$D:$D,'[1]ErberthPereira-targetlist(20260'!$C:$C)</f>
        <v>350218700149200</v>
      </c>
    </row>
    <row r="122" spans="3:17" x14ac:dyDescent="0.3">
      <c r="C122" s="2" t="s">
        <v>357</v>
      </c>
      <c r="D122" s="2">
        <v>2023</v>
      </c>
      <c r="E122" s="2" t="s">
        <v>17</v>
      </c>
      <c r="F122" s="2" t="s">
        <v>18</v>
      </c>
      <c r="G122" s="2" t="s">
        <v>19</v>
      </c>
      <c r="H122" s="9" t="s">
        <v>33</v>
      </c>
      <c r="I122" s="9" t="s">
        <v>166</v>
      </c>
      <c r="J122" s="2" t="s">
        <v>80</v>
      </c>
      <c r="K122" s="2" t="s">
        <v>33</v>
      </c>
      <c r="L122" s="2" t="s">
        <v>24</v>
      </c>
      <c r="M122" s="2" t="s">
        <v>106</v>
      </c>
      <c r="N122" s="2" t="s">
        <v>66</v>
      </c>
      <c r="O122" s="10">
        <v>169</v>
      </c>
      <c r="P122" t="s">
        <v>358</v>
      </c>
      <c r="Q122" t="str">
        <f>_xlfn.XLOOKUP(C:C,'[1]ErberthPereira-targetlist(20260'!$D:$D,'[1]ErberthPereira-targetlist(20260'!$C:$C)</f>
        <v>350218700119708</v>
      </c>
    </row>
    <row r="123" spans="3:17" x14ac:dyDescent="0.3">
      <c r="C123" s="2" t="s">
        <v>359</v>
      </c>
      <c r="D123" s="2">
        <v>2023</v>
      </c>
      <c r="E123" s="2" t="s">
        <v>17</v>
      </c>
      <c r="F123" s="2" t="s">
        <v>18</v>
      </c>
      <c r="G123" s="2" t="s">
        <v>19</v>
      </c>
      <c r="H123" s="9" t="s">
        <v>33</v>
      </c>
      <c r="I123" s="9" t="s">
        <v>142</v>
      </c>
      <c r="J123" s="2" t="s">
        <v>139</v>
      </c>
      <c r="K123" s="2" t="s">
        <v>33</v>
      </c>
      <c r="L123" s="2" t="s">
        <v>24</v>
      </c>
      <c r="M123" s="2" t="s">
        <v>31</v>
      </c>
      <c r="N123" s="2" t="s">
        <v>66</v>
      </c>
      <c r="O123">
        <v>127</v>
      </c>
      <c r="P123" t="s">
        <v>27</v>
      </c>
      <c r="Q123" t="str">
        <f>_xlfn.XLOOKUP(C:C,'[1]ErberthPereira-targetlist(20260'!$D:$D,'[1]ErberthPereira-targetlist(20260'!$C:$C)</f>
        <v>350218700107455</v>
      </c>
    </row>
    <row r="124" spans="3:17" x14ac:dyDescent="0.3">
      <c r="C124" s="2" t="s">
        <v>360</v>
      </c>
      <c r="D124" s="2">
        <v>2023</v>
      </c>
      <c r="E124" s="2" t="s">
        <v>17</v>
      </c>
      <c r="F124" s="2" t="s">
        <v>18</v>
      </c>
      <c r="G124" s="2" t="s">
        <v>19</v>
      </c>
      <c r="H124" s="9" t="s">
        <v>49</v>
      </c>
      <c r="I124" s="9" t="s">
        <v>361</v>
      </c>
      <c r="J124" s="2" t="s">
        <v>34</v>
      </c>
      <c r="K124" s="2" t="s">
        <v>51</v>
      </c>
      <c r="L124" s="2" t="s">
        <v>41</v>
      </c>
      <c r="M124" s="2" t="s">
        <v>42</v>
      </c>
      <c r="N124" s="2" t="s">
        <v>52</v>
      </c>
      <c r="O124" s="10">
        <v>169</v>
      </c>
      <c r="P124" t="s">
        <v>44</v>
      </c>
      <c r="Q124" t="str">
        <f>_xlfn.XLOOKUP(C:C,'[1]ErberthPereira-targetlist(20260'!$D:$D,'[1]ErberthPereira-targetlist(20260'!$C:$C)</f>
        <v>350218700157971</v>
      </c>
    </row>
    <row r="125" spans="3:17" x14ac:dyDescent="0.3">
      <c r="C125" s="2" t="s">
        <v>362</v>
      </c>
      <c r="D125" s="2">
        <v>2023</v>
      </c>
      <c r="E125" s="2" t="s">
        <v>164</v>
      </c>
      <c r="F125" s="2" t="s">
        <v>159</v>
      </c>
      <c r="G125" s="2" t="s">
        <v>19</v>
      </c>
      <c r="H125" s="9" t="s">
        <v>363</v>
      </c>
      <c r="I125" s="9" t="s">
        <v>166</v>
      </c>
      <c r="J125" s="2" t="s">
        <v>80</v>
      </c>
      <c r="K125" s="2" t="s">
        <v>23</v>
      </c>
      <c r="L125" s="2" t="s">
        <v>24</v>
      </c>
      <c r="M125" s="2" t="s">
        <v>106</v>
      </c>
      <c r="N125" s="2" t="s">
        <v>161</v>
      </c>
      <c r="O125" s="10">
        <v>169</v>
      </c>
      <c r="P125" t="s">
        <v>167</v>
      </c>
      <c r="Q125" t="str">
        <f>_xlfn.XLOOKUP(C:C,'[1]ErberthPereira-targetlist(20260'!$D:$D,'[1]ErberthPereira-targetlist(20260'!$C:$C)</f>
        <v>350218700127669</v>
      </c>
    </row>
    <row r="126" spans="3:17" x14ac:dyDescent="0.3">
      <c r="C126" s="2" t="s">
        <v>364</v>
      </c>
      <c r="D126" s="2">
        <v>2024</v>
      </c>
      <c r="E126" s="2" t="s">
        <v>164</v>
      </c>
      <c r="F126" s="2" t="s">
        <v>159</v>
      </c>
      <c r="G126" s="2" t="s">
        <v>19</v>
      </c>
      <c r="H126" s="9" t="s">
        <v>365</v>
      </c>
      <c r="I126" s="9" t="s">
        <v>166</v>
      </c>
      <c r="J126" s="2" t="s">
        <v>80</v>
      </c>
      <c r="K126" s="2" t="s">
        <v>23</v>
      </c>
      <c r="L126" s="2" t="s">
        <v>24</v>
      </c>
      <c r="M126" s="2" t="s">
        <v>106</v>
      </c>
      <c r="N126" s="2" t="s">
        <v>161</v>
      </c>
      <c r="O126" s="10">
        <v>169</v>
      </c>
      <c r="P126" t="s">
        <v>167</v>
      </c>
      <c r="Q126" t="str">
        <f>_xlfn.XLOOKUP(C:C,'[1]ErberthPereira-targetlist(20260'!$D:$D,'[1]ErberthPereira-targetlist(20260'!$C:$C)</f>
        <v>350218700154754</v>
      </c>
    </row>
    <row r="127" spans="3:17" x14ac:dyDescent="0.3">
      <c r="C127" s="2" t="s">
        <v>366</v>
      </c>
      <c r="D127" s="2">
        <v>2024</v>
      </c>
      <c r="E127" s="2" t="s">
        <v>164</v>
      </c>
      <c r="F127" s="2" t="s">
        <v>159</v>
      </c>
      <c r="G127" s="2" t="s">
        <v>19</v>
      </c>
      <c r="H127" s="9" t="s">
        <v>33</v>
      </c>
      <c r="I127" s="9" t="s">
        <v>166</v>
      </c>
      <c r="J127" s="2" t="s">
        <v>80</v>
      </c>
      <c r="K127" s="2" t="s">
        <v>33</v>
      </c>
      <c r="L127" s="2" t="s">
        <v>24</v>
      </c>
      <c r="M127" s="2" t="s">
        <v>106</v>
      </c>
      <c r="N127" s="2" t="s">
        <v>289</v>
      </c>
      <c r="O127" s="10">
        <v>169</v>
      </c>
      <c r="P127" t="s">
        <v>167</v>
      </c>
      <c r="Q127" t="str">
        <f>_xlfn.XLOOKUP(C:C,'[1]ErberthPereira-targetlist(20260'!$D:$D,'[1]ErberthPereira-targetlist(20260'!$C:$C)</f>
        <v>350218700195492</v>
      </c>
    </row>
    <row r="128" spans="3:17" x14ac:dyDescent="0.3">
      <c r="C128" s="2" t="s">
        <v>367</v>
      </c>
      <c r="D128" s="2">
        <v>2023</v>
      </c>
      <c r="E128" s="2" t="s">
        <v>164</v>
      </c>
      <c r="F128" s="2" t="s">
        <v>159</v>
      </c>
      <c r="G128" s="2" t="s">
        <v>19</v>
      </c>
      <c r="H128" s="9" t="s">
        <v>368</v>
      </c>
      <c r="I128" s="9" t="s">
        <v>30</v>
      </c>
      <c r="J128" s="2" t="s">
        <v>22</v>
      </c>
      <c r="K128" s="2" t="s">
        <v>23</v>
      </c>
      <c r="L128" s="2" t="s">
        <v>24</v>
      </c>
      <c r="M128" s="2" t="s">
        <v>31</v>
      </c>
      <c r="N128" s="2" t="s">
        <v>171</v>
      </c>
      <c r="O128">
        <v>127</v>
      </c>
      <c r="P128" t="s">
        <v>162</v>
      </c>
      <c r="Q128" t="str">
        <f>_xlfn.XLOOKUP(C:C,'[1]ErberthPereira-targetlist(20260'!$D:$D,'[1]ErberthPereira-targetlist(20260'!$C:$C)</f>
        <v>350218700175742</v>
      </c>
    </row>
    <row r="129" spans="3:17" x14ac:dyDescent="0.3">
      <c r="C129" s="2" t="s">
        <v>369</v>
      </c>
      <c r="D129" s="2">
        <v>2023</v>
      </c>
      <c r="E129" s="2" t="s">
        <v>164</v>
      </c>
      <c r="F129" s="2" t="s">
        <v>159</v>
      </c>
      <c r="G129" s="2" t="s">
        <v>19</v>
      </c>
      <c r="H129" s="9" t="s">
        <v>33</v>
      </c>
      <c r="I129" s="9" t="s">
        <v>135</v>
      </c>
      <c r="J129" s="2" t="s">
        <v>34</v>
      </c>
      <c r="K129" s="2" t="s">
        <v>33</v>
      </c>
      <c r="L129" s="2" t="s">
        <v>24</v>
      </c>
      <c r="M129" s="2" t="s">
        <v>31</v>
      </c>
      <c r="N129" s="2" t="s">
        <v>332</v>
      </c>
      <c r="O129">
        <v>127</v>
      </c>
      <c r="P129" t="s">
        <v>162</v>
      </c>
      <c r="Q129" t="str">
        <f>_xlfn.XLOOKUP(C:C,'[1]ErberthPereira-targetlist(20260'!$D:$D,'[1]ErberthPereira-targetlist(20260'!$C:$C)</f>
        <v>350218700175684</v>
      </c>
    </row>
    <row r="130" spans="3:17" x14ac:dyDescent="0.3">
      <c r="C130" s="2" t="s">
        <v>370</v>
      </c>
      <c r="D130" s="2">
        <v>2023</v>
      </c>
      <c r="E130" s="2" t="s">
        <v>164</v>
      </c>
      <c r="F130" s="2" t="s">
        <v>159</v>
      </c>
      <c r="G130" s="2" t="s">
        <v>19</v>
      </c>
      <c r="H130" s="9" t="s">
        <v>371</v>
      </c>
      <c r="I130" s="9" t="s">
        <v>47</v>
      </c>
      <c r="J130" s="2" t="s">
        <v>34</v>
      </c>
      <c r="K130" s="2" t="s">
        <v>23</v>
      </c>
      <c r="L130" s="2" t="s">
        <v>24</v>
      </c>
      <c r="M130" s="2" t="s">
        <v>31</v>
      </c>
      <c r="N130" s="2" t="s">
        <v>161</v>
      </c>
      <c r="O130">
        <v>127</v>
      </c>
      <c r="P130" t="s">
        <v>162</v>
      </c>
      <c r="Q130" t="str">
        <f>_xlfn.XLOOKUP(C:C,'[1]ErberthPereira-targetlist(20260'!$D:$D,'[1]ErberthPereira-targetlist(20260'!$C:$C)</f>
        <v>350218700171329</v>
      </c>
    </row>
    <row r="131" spans="3:17" x14ac:dyDescent="0.3">
      <c r="C131" s="2" t="s">
        <v>372</v>
      </c>
      <c r="D131" s="2">
        <v>2024</v>
      </c>
      <c r="E131" s="2" t="s">
        <v>164</v>
      </c>
      <c r="F131" s="2" t="s">
        <v>159</v>
      </c>
      <c r="G131" s="2" t="s">
        <v>19</v>
      </c>
      <c r="H131" s="9" t="s">
        <v>373</v>
      </c>
      <c r="I131" s="9" t="s">
        <v>166</v>
      </c>
      <c r="J131" s="2" t="s">
        <v>80</v>
      </c>
      <c r="K131" s="2" t="s">
        <v>23</v>
      </c>
      <c r="L131" s="2" t="s">
        <v>24</v>
      </c>
      <c r="M131" s="2" t="s">
        <v>106</v>
      </c>
      <c r="N131" s="2" t="s">
        <v>161</v>
      </c>
      <c r="O131" s="10">
        <v>169</v>
      </c>
      <c r="P131" t="s">
        <v>167</v>
      </c>
      <c r="Q131" t="str">
        <f>_xlfn.XLOOKUP(C:C,'[1]ErberthPereira-targetlist(20260'!$D:$D,'[1]ErberthPereira-targetlist(20260'!$C:$C)</f>
        <v>350218700121852</v>
      </c>
    </row>
    <row r="132" spans="3:17" x14ac:dyDescent="0.3">
      <c r="C132" s="2" t="s">
        <v>374</v>
      </c>
      <c r="D132" s="2">
        <v>2023</v>
      </c>
      <c r="E132" s="2" t="s">
        <v>17</v>
      </c>
      <c r="F132" s="2" t="s">
        <v>18</v>
      </c>
      <c r="G132" s="2" t="s">
        <v>19</v>
      </c>
      <c r="H132" s="9" t="s">
        <v>49</v>
      </c>
      <c r="I132" s="9" t="s">
        <v>375</v>
      </c>
      <c r="J132" s="2" t="s">
        <v>139</v>
      </c>
      <c r="K132" s="2" t="s">
        <v>51</v>
      </c>
      <c r="L132" s="2" t="s">
        <v>24</v>
      </c>
      <c r="M132" s="2" t="s">
        <v>31</v>
      </c>
      <c r="N132" s="2" t="s">
        <v>52</v>
      </c>
      <c r="O132">
        <v>127</v>
      </c>
      <c r="P132" t="s">
        <v>136</v>
      </c>
      <c r="Q132" t="str">
        <f>_xlfn.XLOOKUP(C:C,'[1]ErberthPereira-targetlist(20260'!$D:$D,'[1]ErberthPereira-targetlist(20260'!$C:$C)</f>
        <v>350218700105533</v>
      </c>
    </row>
    <row r="133" spans="3:17" x14ac:dyDescent="0.3">
      <c r="C133" s="2" t="s">
        <v>376</v>
      </c>
      <c r="D133" s="2">
        <v>2023</v>
      </c>
      <c r="E133" s="2" t="s">
        <v>17</v>
      </c>
      <c r="F133" s="2" t="s">
        <v>18</v>
      </c>
      <c r="G133" s="2" t="s">
        <v>19</v>
      </c>
      <c r="H133" s="9" t="s">
        <v>33</v>
      </c>
      <c r="I133" s="9" t="s">
        <v>142</v>
      </c>
      <c r="J133" s="2" t="s">
        <v>139</v>
      </c>
      <c r="K133" s="2" t="s">
        <v>33</v>
      </c>
      <c r="L133" s="2" t="s">
        <v>24</v>
      </c>
      <c r="M133" s="2" t="s">
        <v>31</v>
      </c>
      <c r="N133" s="2" t="s">
        <v>66</v>
      </c>
      <c r="O133">
        <v>127</v>
      </c>
      <c r="P133" t="s">
        <v>27</v>
      </c>
      <c r="Q133" t="str">
        <f>_xlfn.XLOOKUP(C:C,'[1]ErberthPereira-targetlist(20260'!$D:$D,'[1]ErberthPereira-targetlist(20260'!$C:$C)</f>
        <v>350218700160975</v>
      </c>
    </row>
    <row r="134" spans="3:17" x14ac:dyDescent="0.3">
      <c r="C134" s="2" t="s">
        <v>377</v>
      </c>
      <c r="D134" s="2">
        <v>2023</v>
      </c>
      <c r="E134" s="2" t="s">
        <v>17</v>
      </c>
      <c r="F134" s="2" t="s">
        <v>18</v>
      </c>
      <c r="G134" s="2" t="s">
        <v>19</v>
      </c>
      <c r="H134" s="9" t="s">
        <v>378</v>
      </c>
      <c r="I134" s="9" t="s">
        <v>47</v>
      </c>
      <c r="J134" s="2" t="s">
        <v>34</v>
      </c>
      <c r="K134" s="2" t="s">
        <v>23</v>
      </c>
      <c r="L134" s="2" t="s">
        <v>24</v>
      </c>
      <c r="M134" s="2" t="s">
        <v>31</v>
      </c>
      <c r="N134" s="2" t="s">
        <v>26</v>
      </c>
      <c r="O134">
        <v>127</v>
      </c>
      <c r="P134" t="s">
        <v>27</v>
      </c>
      <c r="Q134" t="str">
        <f>_xlfn.XLOOKUP(C:C,'[1]ErberthPereira-targetlist(20260'!$D:$D,'[1]ErberthPereira-targetlist(20260'!$C:$C)</f>
        <v>350218700167996</v>
      </c>
    </row>
    <row r="135" spans="3:17" x14ac:dyDescent="0.3">
      <c r="C135" s="2" t="s">
        <v>379</v>
      </c>
      <c r="D135" s="2">
        <v>2023</v>
      </c>
      <c r="E135" s="2" t="s">
        <v>17</v>
      </c>
      <c r="F135" s="2" t="s">
        <v>18</v>
      </c>
      <c r="G135" s="2" t="s">
        <v>19</v>
      </c>
      <c r="H135" s="9" t="s">
        <v>49</v>
      </c>
      <c r="I135" s="9" t="s">
        <v>47</v>
      </c>
      <c r="J135" s="2" t="s">
        <v>34</v>
      </c>
      <c r="K135" s="2" t="s">
        <v>51</v>
      </c>
      <c r="L135" s="2" t="s">
        <v>24</v>
      </c>
      <c r="M135" s="2" t="s">
        <v>31</v>
      </c>
      <c r="N135" s="2" t="s">
        <v>52</v>
      </c>
      <c r="O135">
        <v>127</v>
      </c>
      <c r="P135" t="s">
        <v>136</v>
      </c>
      <c r="Q135" t="str">
        <f>_xlfn.XLOOKUP(C:C,'[1]ErberthPereira-targetlist(20260'!$D:$D,'[1]ErberthPereira-targetlist(20260'!$C:$C)</f>
        <v>350218700192440</v>
      </c>
    </row>
    <row r="136" spans="3:17" x14ac:dyDescent="0.3">
      <c r="C136" s="2" t="s">
        <v>380</v>
      </c>
      <c r="D136" s="2">
        <v>2020</v>
      </c>
      <c r="E136" s="2" t="s">
        <v>17</v>
      </c>
      <c r="F136" s="2" t="s">
        <v>18</v>
      </c>
      <c r="G136" s="2" t="s">
        <v>19</v>
      </c>
      <c r="H136" s="9" t="s">
        <v>59</v>
      </c>
      <c r="I136" s="9" t="s">
        <v>381</v>
      </c>
      <c r="J136" s="2" t="s">
        <v>40</v>
      </c>
      <c r="K136" s="2" t="s">
        <v>23</v>
      </c>
      <c r="L136" s="2" t="s">
        <v>61</v>
      </c>
      <c r="M136" s="2" t="s">
        <v>62</v>
      </c>
      <c r="N136" s="2" t="s">
        <v>356</v>
      </c>
      <c r="O136" s="10">
        <v>169</v>
      </c>
      <c r="P136" t="s">
        <v>64</v>
      </c>
      <c r="Q136" t="str">
        <f>_xlfn.XLOOKUP(C:C,'[1]ErberthPereira-targetlist(20260'!$D:$D,'[1]ErberthPereira-targetlist(20260'!$C:$C)</f>
        <v>350218700153889</v>
      </c>
    </row>
    <row r="137" spans="3:17" x14ac:dyDescent="0.3">
      <c r="C137" s="2" t="s">
        <v>382</v>
      </c>
      <c r="D137" s="2">
        <v>2024</v>
      </c>
      <c r="E137" s="2" t="s">
        <v>164</v>
      </c>
      <c r="F137" s="2" t="s">
        <v>159</v>
      </c>
      <c r="G137" s="2" t="s">
        <v>19</v>
      </c>
      <c r="H137" s="9" t="s">
        <v>383</v>
      </c>
      <c r="I137" s="9" t="s">
        <v>166</v>
      </c>
      <c r="J137" s="2" t="s">
        <v>80</v>
      </c>
      <c r="K137" s="2" t="s">
        <v>23</v>
      </c>
      <c r="L137" s="2" t="s">
        <v>24</v>
      </c>
      <c r="M137" s="2" t="s">
        <v>106</v>
      </c>
      <c r="N137" s="2" t="s">
        <v>161</v>
      </c>
      <c r="O137" s="10">
        <v>169</v>
      </c>
      <c r="P137" t="s">
        <v>167</v>
      </c>
      <c r="Q137" t="str">
        <f>_xlfn.XLOOKUP(C:C,'[1]ErberthPereira-targetlist(20260'!$D:$D,'[1]ErberthPereira-targetlist(20260'!$C:$C)</f>
        <v>350218700208733</v>
      </c>
    </row>
    <row r="138" spans="3:17" x14ac:dyDescent="0.3">
      <c r="C138" s="2" t="s">
        <v>384</v>
      </c>
      <c r="D138" s="2">
        <v>2023</v>
      </c>
      <c r="E138" s="2" t="s">
        <v>17</v>
      </c>
      <c r="F138" s="2" t="s">
        <v>18</v>
      </c>
      <c r="G138" s="2" t="s">
        <v>19</v>
      </c>
      <c r="H138" s="9" t="s">
        <v>49</v>
      </c>
      <c r="I138" s="9" t="s">
        <v>385</v>
      </c>
      <c r="J138" s="2" t="s">
        <v>22</v>
      </c>
      <c r="K138" s="2" t="s">
        <v>51</v>
      </c>
      <c r="L138" s="2" t="s">
        <v>24</v>
      </c>
      <c r="M138" s="2" t="s">
        <v>31</v>
      </c>
      <c r="N138" s="2" t="s">
        <v>52</v>
      </c>
      <c r="O138">
        <v>127</v>
      </c>
      <c r="P138" t="s">
        <v>136</v>
      </c>
      <c r="Q138" t="str">
        <f>_xlfn.XLOOKUP(C:C,'[1]ErberthPereira-targetlist(20260'!$D:$D,'[1]ErberthPereira-targetlist(20260'!$C:$C)</f>
        <v>350218700210911</v>
      </c>
    </row>
    <row r="139" spans="3:17" x14ac:dyDescent="0.3">
      <c r="C139" s="2" t="s">
        <v>386</v>
      </c>
      <c r="D139" s="2">
        <v>2022</v>
      </c>
      <c r="E139" s="2" t="s">
        <v>127</v>
      </c>
      <c r="F139" s="2" t="s">
        <v>128</v>
      </c>
      <c r="G139" s="2" t="s">
        <v>19</v>
      </c>
      <c r="H139" s="9" t="s">
        <v>387</v>
      </c>
      <c r="I139" s="9" t="s">
        <v>196</v>
      </c>
      <c r="J139" s="2" t="s">
        <v>40</v>
      </c>
      <c r="K139" s="2" t="s">
        <v>23</v>
      </c>
      <c r="L139" s="2" t="s">
        <v>61</v>
      </c>
      <c r="M139" s="2" t="s">
        <v>62</v>
      </c>
      <c r="N139" s="2" t="s">
        <v>200</v>
      </c>
      <c r="O139" s="10">
        <v>169</v>
      </c>
      <c r="P139" t="s">
        <v>64</v>
      </c>
      <c r="Q139" t="str">
        <f>_xlfn.XLOOKUP(C:C,'[1]ErberthPereira-targetlist(20260'!$D:$D,'[1]ErberthPereira-targetlist(20260'!$C:$C)</f>
        <v>350218700200409</v>
      </c>
    </row>
    <row r="140" spans="3:17" x14ac:dyDescent="0.3">
      <c r="C140" s="2" t="s">
        <v>388</v>
      </c>
      <c r="D140" s="2">
        <v>2022</v>
      </c>
      <c r="E140" s="2" t="s">
        <v>175</v>
      </c>
      <c r="F140" s="2" t="s">
        <v>72</v>
      </c>
      <c r="G140" s="2" t="s">
        <v>19</v>
      </c>
      <c r="H140" s="9" t="s">
        <v>134</v>
      </c>
      <c r="I140" s="9" t="s">
        <v>39</v>
      </c>
      <c r="J140" s="2" t="s">
        <v>34</v>
      </c>
      <c r="K140" s="2" t="s">
        <v>51</v>
      </c>
      <c r="L140" s="2" t="s">
        <v>41</v>
      </c>
      <c r="M140" s="2" t="s">
        <v>42</v>
      </c>
      <c r="N140" s="2" t="s">
        <v>107</v>
      </c>
      <c r="O140" s="10">
        <v>169</v>
      </c>
      <c r="P140" t="s">
        <v>108</v>
      </c>
      <c r="Q140" t="str">
        <f>_xlfn.XLOOKUP(C:C,'[1]ErberthPereira-targetlist(20260'!$D:$D,'[1]ErberthPereira-targetlist(20260'!$C:$C)</f>
        <v>350218700204187</v>
      </c>
    </row>
    <row r="141" spans="3:17" x14ac:dyDescent="0.3">
      <c r="C141" s="2" t="s">
        <v>389</v>
      </c>
      <c r="D141" s="2">
        <v>2022</v>
      </c>
      <c r="E141" s="2" t="s">
        <v>175</v>
      </c>
      <c r="F141" s="2" t="s">
        <v>72</v>
      </c>
      <c r="G141" s="2" t="s">
        <v>19</v>
      </c>
      <c r="H141" s="9" t="s">
        <v>49</v>
      </c>
      <c r="I141" s="9" t="s">
        <v>390</v>
      </c>
      <c r="J141" s="2" t="s">
        <v>34</v>
      </c>
      <c r="K141" s="2" t="s">
        <v>51</v>
      </c>
      <c r="L141" s="2" t="s">
        <v>24</v>
      </c>
      <c r="M141" s="2" t="s">
        <v>31</v>
      </c>
      <c r="N141" s="2" t="s">
        <v>52</v>
      </c>
      <c r="O141">
        <v>127</v>
      </c>
      <c r="P141" t="s">
        <v>136</v>
      </c>
      <c r="Q141" t="str">
        <f>_xlfn.XLOOKUP(C:C,'[1]ErberthPereira-targetlist(20260'!$D:$D,'[1]ErberthPereira-targetlist(20260'!$C:$C)</f>
        <v>350218700115714</v>
      </c>
    </row>
    <row r="142" spans="3:17" x14ac:dyDescent="0.3">
      <c r="C142" s="2" t="s">
        <v>391</v>
      </c>
      <c r="D142" s="2">
        <v>2022</v>
      </c>
      <c r="E142" s="2" t="s">
        <v>175</v>
      </c>
      <c r="F142" s="2" t="s">
        <v>72</v>
      </c>
      <c r="G142" s="2" t="s">
        <v>19</v>
      </c>
      <c r="H142" s="9" t="s">
        <v>49</v>
      </c>
      <c r="I142" s="9" t="s">
        <v>392</v>
      </c>
      <c r="J142" s="2" t="s">
        <v>139</v>
      </c>
      <c r="K142" s="2" t="s">
        <v>51</v>
      </c>
      <c r="L142" s="2" t="s">
        <v>24</v>
      </c>
      <c r="M142" s="2" t="s">
        <v>31</v>
      </c>
      <c r="N142" s="2" t="s">
        <v>52</v>
      </c>
      <c r="O142">
        <v>127</v>
      </c>
      <c r="P142" t="s">
        <v>136</v>
      </c>
      <c r="Q142" t="str">
        <f>_xlfn.XLOOKUP(C:C,'[1]ErberthPereira-targetlist(20260'!$D:$D,'[1]ErberthPereira-targetlist(20260'!$C:$C)</f>
        <v>350218700103025</v>
      </c>
    </row>
    <row r="143" spans="3:17" x14ac:dyDescent="0.3">
      <c r="C143" s="2" t="s">
        <v>393</v>
      </c>
      <c r="D143" s="2">
        <v>2022</v>
      </c>
      <c r="E143" s="2" t="s">
        <v>175</v>
      </c>
      <c r="F143" s="2" t="s">
        <v>72</v>
      </c>
      <c r="G143" s="2" t="s">
        <v>19</v>
      </c>
      <c r="H143" s="9" t="s">
        <v>49</v>
      </c>
      <c r="I143" s="9" t="s">
        <v>394</v>
      </c>
      <c r="J143" s="2" t="s">
        <v>34</v>
      </c>
      <c r="K143" s="2" t="s">
        <v>51</v>
      </c>
      <c r="L143" s="2" t="s">
        <v>24</v>
      </c>
      <c r="M143" s="2" t="s">
        <v>31</v>
      </c>
      <c r="N143" s="2" t="s">
        <v>52</v>
      </c>
      <c r="O143">
        <v>127</v>
      </c>
      <c r="P143" t="s">
        <v>136</v>
      </c>
      <c r="Q143" t="str">
        <f>_xlfn.XLOOKUP(C:C,'[1]ErberthPereira-targetlist(20260'!$D:$D,'[1]ErberthPereira-targetlist(20260'!$C:$C)</f>
        <v>350218700147444</v>
      </c>
    </row>
    <row r="144" spans="3:17" x14ac:dyDescent="0.3">
      <c r="C144" s="2" t="s">
        <v>395</v>
      </c>
      <c r="D144" s="2">
        <v>2022</v>
      </c>
      <c r="E144" s="2" t="s">
        <v>127</v>
      </c>
      <c r="F144" s="2" t="s">
        <v>301</v>
      </c>
      <c r="G144" s="2" t="s">
        <v>19</v>
      </c>
      <c r="H144" s="9" t="s">
        <v>396</v>
      </c>
      <c r="I144" s="9" t="s">
        <v>176</v>
      </c>
      <c r="J144" s="2" t="s">
        <v>114</v>
      </c>
      <c r="K144" s="2" t="s">
        <v>23</v>
      </c>
      <c r="L144" s="2" t="s">
        <v>150</v>
      </c>
      <c r="M144" s="2" t="s">
        <v>62</v>
      </c>
      <c r="N144" s="2" t="s">
        <v>397</v>
      </c>
      <c r="O144" s="10">
        <v>170</v>
      </c>
      <c r="P144" t="s">
        <v>398</v>
      </c>
      <c r="Q144" t="str">
        <f>_xlfn.XLOOKUP(C:C,'[1]ErberthPereira-targetlist(20260'!$D:$D,'[1]ErberthPereira-targetlist(20260'!$C:$C)</f>
        <v>350218700190493</v>
      </c>
    </row>
    <row r="145" spans="3:17" x14ac:dyDescent="0.3">
      <c r="C145" s="2" t="s">
        <v>399</v>
      </c>
      <c r="D145" s="2">
        <v>2022</v>
      </c>
      <c r="E145" s="2" t="s">
        <v>400</v>
      </c>
      <c r="F145" s="2" t="s">
        <v>230</v>
      </c>
      <c r="G145" s="2" t="s">
        <v>19</v>
      </c>
      <c r="H145" s="9" t="s">
        <v>401</v>
      </c>
      <c r="I145" s="9" t="s">
        <v>313</v>
      </c>
      <c r="J145" s="2" t="s">
        <v>34</v>
      </c>
      <c r="K145" s="2" t="s">
        <v>23</v>
      </c>
      <c r="L145" s="2" t="s">
        <v>61</v>
      </c>
      <c r="M145" s="2" t="s">
        <v>74</v>
      </c>
      <c r="N145" s="2" t="s">
        <v>314</v>
      </c>
      <c r="O145">
        <v>127</v>
      </c>
      <c r="P145" t="s">
        <v>315</v>
      </c>
      <c r="Q145" t="str">
        <f>_xlfn.XLOOKUP(C:C,'[1]ErberthPereira-targetlist(20260'!$D:$D,'[1]ErberthPereira-targetlist(20260'!$C:$C)</f>
        <v>350218700148756</v>
      </c>
    </row>
    <row r="146" spans="3:17" x14ac:dyDescent="0.3">
      <c r="C146" s="2" t="s">
        <v>402</v>
      </c>
      <c r="D146" s="2">
        <v>2022</v>
      </c>
      <c r="E146" s="2" t="s">
        <v>403</v>
      </c>
      <c r="F146" s="2" t="s">
        <v>128</v>
      </c>
      <c r="G146" s="2" t="s">
        <v>214</v>
      </c>
      <c r="H146" s="9" t="s">
        <v>404</v>
      </c>
      <c r="I146" s="9" t="s">
        <v>149</v>
      </c>
      <c r="J146" s="2" t="s">
        <v>114</v>
      </c>
      <c r="K146" s="2" t="s">
        <v>23</v>
      </c>
      <c r="L146" s="2" t="s">
        <v>150</v>
      </c>
      <c r="M146" s="2" t="s">
        <v>151</v>
      </c>
      <c r="N146" s="2" t="s">
        <v>156</v>
      </c>
      <c r="O146" s="10">
        <v>170</v>
      </c>
      <c r="P146" t="s">
        <v>153</v>
      </c>
      <c r="Q146" t="str">
        <f>_xlfn.XLOOKUP(C:C,'[1]ErberthPereira-targetlist(20260'!$D:$D,'[1]ErberthPereira-targetlist(20260'!$C:$C)</f>
        <v>350218700160504</v>
      </c>
    </row>
    <row r="147" spans="3:17" x14ac:dyDescent="0.3">
      <c r="C147" s="2" t="s">
        <v>405</v>
      </c>
      <c r="D147" s="2">
        <v>2022</v>
      </c>
      <c r="E147" s="2" t="s">
        <v>400</v>
      </c>
      <c r="F147" s="2" t="s">
        <v>230</v>
      </c>
      <c r="G147" s="2" t="s">
        <v>19</v>
      </c>
      <c r="H147" s="9" t="s">
        <v>33</v>
      </c>
      <c r="I147" s="9" t="s">
        <v>313</v>
      </c>
      <c r="J147" s="2" t="s">
        <v>34</v>
      </c>
      <c r="K147" s="2" t="s">
        <v>33</v>
      </c>
      <c r="L147" s="2" t="s">
        <v>61</v>
      </c>
      <c r="M147" s="2" t="s">
        <v>74</v>
      </c>
      <c r="N147" s="2" t="s">
        <v>406</v>
      </c>
      <c r="O147">
        <v>127</v>
      </c>
      <c r="P147" t="s">
        <v>315</v>
      </c>
      <c r="Q147" t="str">
        <f>_xlfn.XLOOKUP(C:C,'[1]ErberthPereira-targetlist(20260'!$D:$D,'[1]ErberthPereira-targetlist(20260'!$C:$C)</f>
        <v>350218700167343</v>
      </c>
    </row>
    <row r="148" spans="3:17" x14ac:dyDescent="0.3">
      <c r="C148" s="2" t="s">
        <v>407</v>
      </c>
      <c r="D148" s="2">
        <v>2022</v>
      </c>
      <c r="E148" s="2" t="s">
        <v>400</v>
      </c>
      <c r="F148" s="2" t="s">
        <v>230</v>
      </c>
      <c r="G148" s="2" t="s">
        <v>19</v>
      </c>
      <c r="H148" s="9" t="s">
        <v>408</v>
      </c>
      <c r="I148" s="9" t="s">
        <v>263</v>
      </c>
      <c r="J148" s="2" t="s">
        <v>40</v>
      </c>
      <c r="K148" s="2" t="s">
        <v>23</v>
      </c>
      <c r="L148" s="2" t="s">
        <v>61</v>
      </c>
      <c r="M148" s="2" t="s">
        <v>62</v>
      </c>
      <c r="N148" s="2" t="s">
        <v>314</v>
      </c>
      <c r="O148" s="10">
        <v>169</v>
      </c>
      <c r="P148" t="s">
        <v>409</v>
      </c>
      <c r="Q148" t="str">
        <f>_xlfn.XLOOKUP(C:C,'[1]ErberthPereira-targetlist(20260'!$D:$D,'[1]ErberthPereira-targetlist(20260'!$C:$C)</f>
        <v>350218700105574</v>
      </c>
    </row>
    <row r="149" spans="3:17" x14ac:dyDescent="0.3">
      <c r="C149" s="2" t="s">
        <v>410</v>
      </c>
      <c r="D149" s="2">
        <v>2022</v>
      </c>
      <c r="E149" s="2" t="s">
        <v>403</v>
      </c>
      <c r="F149" s="2" t="s">
        <v>128</v>
      </c>
      <c r="G149" s="2" t="s">
        <v>19</v>
      </c>
      <c r="H149" s="9" t="s">
        <v>411</v>
      </c>
      <c r="I149" s="9" t="s">
        <v>199</v>
      </c>
      <c r="J149" s="2" t="s">
        <v>34</v>
      </c>
      <c r="K149" s="2" t="s">
        <v>23</v>
      </c>
      <c r="L149" s="2" t="s">
        <v>61</v>
      </c>
      <c r="M149" s="2" t="s">
        <v>74</v>
      </c>
      <c r="N149" s="2" t="s">
        <v>200</v>
      </c>
      <c r="O149">
        <v>127</v>
      </c>
      <c r="P149" t="s">
        <v>75</v>
      </c>
      <c r="Q149" t="str">
        <f>_xlfn.XLOOKUP(C:C,'[1]ErberthPereira-targetlist(20260'!$D:$D,'[1]ErberthPereira-targetlist(20260'!$C:$C)</f>
        <v>350218700165552</v>
      </c>
    </row>
    <row r="150" spans="3:17" x14ac:dyDescent="0.3">
      <c r="C150" s="2" t="s">
        <v>412</v>
      </c>
      <c r="D150" s="2">
        <v>2023</v>
      </c>
      <c r="E150" s="2" t="s">
        <v>229</v>
      </c>
      <c r="F150" s="2" t="s">
        <v>230</v>
      </c>
      <c r="G150" s="2" t="s">
        <v>231</v>
      </c>
      <c r="H150" s="9" t="s">
        <v>413</v>
      </c>
      <c r="I150" s="9" t="s">
        <v>176</v>
      </c>
      <c r="J150" s="2" t="s">
        <v>80</v>
      </c>
      <c r="K150" s="2" t="s">
        <v>23</v>
      </c>
      <c r="L150" s="2" t="s">
        <v>61</v>
      </c>
      <c r="M150" s="2" t="s">
        <v>62</v>
      </c>
      <c r="N150" s="2" t="s">
        <v>314</v>
      </c>
      <c r="O150" s="10">
        <v>169</v>
      </c>
      <c r="P150" t="s">
        <v>409</v>
      </c>
      <c r="Q150" t="str">
        <f>_xlfn.XLOOKUP(C:C,'[1]ErberthPereira-targetlist(20260'!$D:$D,'[1]ErberthPereira-targetlist(20260'!$C:$C)</f>
        <v>350218700126042</v>
      </c>
    </row>
    <row r="151" spans="3:17" x14ac:dyDescent="0.3">
      <c r="C151" s="2" t="s">
        <v>414</v>
      </c>
      <c r="D151" s="2">
        <v>2022</v>
      </c>
      <c r="E151" s="2" t="s">
        <v>127</v>
      </c>
      <c r="F151" s="2" t="s">
        <v>128</v>
      </c>
      <c r="G151" s="2" t="s">
        <v>19</v>
      </c>
      <c r="H151" s="9" t="s">
        <v>415</v>
      </c>
      <c r="I151" s="9" t="s">
        <v>196</v>
      </c>
      <c r="J151" s="2" t="s">
        <v>40</v>
      </c>
      <c r="K151" s="2" t="s">
        <v>23</v>
      </c>
      <c r="L151" s="2" t="s">
        <v>61</v>
      </c>
      <c r="M151" s="2" t="s">
        <v>62</v>
      </c>
      <c r="N151" s="2" t="s">
        <v>200</v>
      </c>
      <c r="O151" s="10">
        <v>169</v>
      </c>
      <c r="P151" t="s">
        <v>64</v>
      </c>
      <c r="Q151" t="str">
        <f>_xlfn.XLOOKUP(C:C,'[1]ErberthPereira-targetlist(20260'!$D:$D,'[1]ErberthPereira-targetlist(20260'!$C:$C)</f>
        <v>350218700223575</v>
      </c>
    </row>
    <row r="152" spans="3:17" x14ac:dyDescent="0.3">
      <c r="C152" s="2" t="s">
        <v>416</v>
      </c>
      <c r="D152" s="2">
        <v>2022</v>
      </c>
      <c r="E152" s="2" t="s">
        <v>307</v>
      </c>
      <c r="F152" s="2" t="s">
        <v>293</v>
      </c>
      <c r="G152" s="2" t="s">
        <v>19</v>
      </c>
      <c r="H152" s="9" t="s">
        <v>33</v>
      </c>
      <c r="I152" s="9" t="s">
        <v>21</v>
      </c>
      <c r="J152" s="2" t="s">
        <v>139</v>
      </c>
      <c r="K152" s="2" t="s">
        <v>33</v>
      </c>
      <c r="L152" s="2" t="s">
        <v>25</v>
      </c>
      <c r="M152" s="2" t="s">
        <v>223</v>
      </c>
      <c r="N152" s="2" t="s">
        <v>92</v>
      </c>
      <c r="O152">
        <v>127</v>
      </c>
      <c r="P152" t="s">
        <v>227</v>
      </c>
      <c r="Q152" t="str">
        <f>_xlfn.XLOOKUP(C:C,'[1]ErberthPereira-targetlist(20260'!$D:$D,'[1]ErberthPereira-targetlist(20260'!$C:$C)</f>
        <v>350218700197332</v>
      </c>
    </row>
    <row r="153" spans="3:17" x14ac:dyDescent="0.3">
      <c r="C153" s="2" t="s">
        <v>417</v>
      </c>
      <c r="D153" s="2">
        <v>2022</v>
      </c>
      <c r="E153" s="2" t="s">
        <v>307</v>
      </c>
      <c r="F153" s="2" t="s">
        <v>293</v>
      </c>
      <c r="G153" s="2" t="s">
        <v>19</v>
      </c>
      <c r="H153" s="9" t="s">
        <v>296</v>
      </c>
      <c r="I153" s="9" t="s">
        <v>418</v>
      </c>
      <c r="J153" s="2" t="s">
        <v>40</v>
      </c>
      <c r="K153" s="2" t="s">
        <v>23</v>
      </c>
      <c r="L153" s="2" t="s">
        <v>61</v>
      </c>
      <c r="M153" s="2" t="s">
        <v>62</v>
      </c>
      <c r="N153" s="2" t="s">
        <v>298</v>
      </c>
      <c r="O153" s="10">
        <v>169</v>
      </c>
      <c r="P153" t="s">
        <v>64</v>
      </c>
      <c r="Q153" t="str">
        <f>_xlfn.XLOOKUP(C:C,'[1]ErberthPereira-targetlist(20260'!$D:$D,'[1]ErberthPereira-targetlist(20260'!$C:$C)</f>
        <v>350218700218591</v>
      </c>
    </row>
    <row r="154" spans="3:17" x14ac:dyDescent="0.3">
      <c r="C154" s="2" t="s">
        <v>419</v>
      </c>
      <c r="D154" s="2">
        <v>2022</v>
      </c>
      <c r="E154" s="2" t="s">
        <v>307</v>
      </c>
      <c r="F154" s="2" t="s">
        <v>293</v>
      </c>
      <c r="G154" s="2" t="s">
        <v>19</v>
      </c>
      <c r="H154" s="9" t="s">
        <v>33</v>
      </c>
      <c r="I154" s="9" t="s">
        <v>294</v>
      </c>
      <c r="J154" s="2" t="s">
        <v>34</v>
      </c>
      <c r="K154" s="2" t="s">
        <v>33</v>
      </c>
      <c r="L154" s="2" t="s">
        <v>25</v>
      </c>
      <c r="M154" s="2" t="s">
        <v>223</v>
      </c>
      <c r="N154" s="2" t="s">
        <v>420</v>
      </c>
      <c r="O154">
        <v>127</v>
      </c>
      <c r="P154" t="s">
        <v>227</v>
      </c>
      <c r="Q154" t="str">
        <f>_xlfn.XLOOKUP(C:C,'[1]ErberthPereira-targetlist(20260'!$D:$D,'[1]ErberthPereira-targetlist(20260'!$C:$C)</f>
        <v>350218700178076</v>
      </c>
    </row>
    <row r="155" spans="3:17" x14ac:dyDescent="0.3">
      <c r="C155" s="2" t="s">
        <v>421</v>
      </c>
      <c r="D155" s="2">
        <v>2022</v>
      </c>
      <c r="E155" s="2" t="s">
        <v>175</v>
      </c>
      <c r="F155" s="2" t="s">
        <v>72</v>
      </c>
      <c r="G155" s="2" t="s">
        <v>19</v>
      </c>
      <c r="H155" s="9" t="s">
        <v>49</v>
      </c>
      <c r="I155" s="9" t="s">
        <v>422</v>
      </c>
      <c r="J155" s="2" t="s">
        <v>22</v>
      </c>
      <c r="K155" s="2" t="s">
        <v>51</v>
      </c>
      <c r="L155" s="2" t="s">
        <v>24</v>
      </c>
      <c r="M155" s="2" t="s">
        <v>31</v>
      </c>
      <c r="N155" s="2" t="s">
        <v>52</v>
      </c>
      <c r="O155">
        <v>127</v>
      </c>
      <c r="P155" t="s">
        <v>136</v>
      </c>
      <c r="Q155" t="str">
        <f>_xlfn.XLOOKUP(C:C,'[1]ErberthPereira-targetlist(20260'!$D:$D,'[1]ErberthPereira-targetlist(20260'!$C:$C)</f>
        <v>350218700130184</v>
      </c>
    </row>
    <row r="156" spans="3:17" x14ac:dyDescent="0.3">
      <c r="C156" s="2" t="s">
        <v>423</v>
      </c>
      <c r="D156" s="2">
        <v>2024</v>
      </c>
      <c r="E156" s="2" t="s">
        <v>164</v>
      </c>
      <c r="F156" s="2" t="s">
        <v>159</v>
      </c>
      <c r="G156" s="2" t="s">
        <v>19</v>
      </c>
      <c r="H156" s="9" t="s">
        <v>424</v>
      </c>
      <c r="I156" s="9" t="s">
        <v>166</v>
      </c>
      <c r="J156" s="2" t="s">
        <v>80</v>
      </c>
      <c r="K156" s="2" t="s">
        <v>23</v>
      </c>
      <c r="L156" s="2" t="s">
        <v>24</v>
      </c>
      <c r="M156" s="2" t="s">
        <v>106</v>
      </c>
      <c r="N156" s="2" t="s">
        <v>425</v>
      </c>
      <c r="O156" s="10">
        <v>169</v>
      </c>
      <c r="P156" t="s">
        <v>167</v>
      </c>
      <c r="Q156" t="str">
        <f>_xlfn.XLOOKUP(C:C,'[1]ErberthPereira-targetlist(20260'!$D:$D,'[1]ErberthPereira-targetlist(20260'!$C:$C)</f>
        <v>350218700122769</v>
      </c>
    </row>
    <row r="157" spans="3:17" x14ac:dyDescent="0.3">
      <c r="C157" s="2" t="s">
        <v>426</v>
      </c>
      <c r="D157" s="2">
        <v>2022</v>
      </c>
      <c r="E157" s="2" t="s">
        <v>307</v>
      </c>
      <c r="F157" s="2" t="s">
        <v>293</v>
      </c>
      <c r="G157" s="2" t="s">
        <v>19</v>
      </c>
      <c r="H157" s="9" t="s">
        <v>33</v>
      </c>
      <c r="I157" s="9" t="s">
        <v>294</v>
      </c>
      <c r="J157" s="2" t="s">
        <v>34</v>
      </c>
      <c r="K157" s="2" t="s">
        <v>33</v>
      </c>
      <c r="L157" s="2" t="s">
        <v>25</v>
      </c>
      <c r="M157" s="2" t="s">
        <v>223</v>
      </c>
      <c r="N157" s="2" t="s">
        <v>420</v>
      </c>
      <c r="O157">
        <v>127</v>
      </c>
      <c r="P157" t="s">
        <v>227</v>
      </c>
      <c r="Q157" t="str">
        <f>_xlfn.XLOOKUP(C:C,'[1]ErberthPereira-targetlist(20260'!$D:$D,'[1]ErberthPereira-targetlist(20260'!$C:$C)</f>
        <v>350218700269537</v>
      </c>
    </row>
    <row r="158" spans="3:17" x14ac:dyDescent="0.3">
      <c r="C158" s="2" t="s">
        <v>427</v>
      </c>
      <c r="D158" s="2">
        <v>2022</v>
      </c>
      <c r="E158" s="2" t="s">
        <v>175</v>
      </c>
      <c r="F158" s="2" t="s">
        <v>72</v>
      </c>
      <c r="G158" s="2" t="s">
        <v>19</v>
      </c>
      <c r="H158" s="9" t="s">
        <v>49</v>
      </c>
      <c r="I158" s="9" t="s">
        <v>428</v>
      </c>
      <c r="J158" s="2" t="s">
        <v>22</v>
      </c>
      <c r="K158" s="2" t="s">
        <v>51</v>
      </c>
      <c r="L158" s="2" t="s">
        <v>24</v>
      </c>
      <c r="M158" s="2" t="s">
        <v>31</v>
      </c>
      <c r="N158" s="2" t="s">
        <v>52</v>
      </c>
      <c r="O158">
        <v>127</v>
      </c>
      <c r="P158" t="s">
        <v>136</v>
      </c>
      <c r="Q158" t="e">
        <f>_xlfn.XLOOKUP(C:C,'[1]ErberthPereira-targetlist(20260'!$D:$D,'[1]ErberthPereira-targetlist(20260'!$C:$C)</f>
        <v>#N/A</v>
      </c>
    </row>
    <row r="159" spans="3:17" x14ac:dyDescent="0.3">
      <c r="C159" s="2" t="s">
        <v>429</v>
      </c>
      <c r="D159" s="2">
        <v>2022</v>
      </c>
      <c r="E159" s="2" t="s">
        <v>175</v>
      </c>
      <c r="F159" s="2" t="s">
        <v>72</v>
      </c>
      <c r="G159" s="2" t="s">
        <v>19</v>
      </c>
      <c r="H159" s="9" t="s">
        <v>134</v>
      </c>
      <c r="I159" s="9" t="s">
        <v>176</v>
      </c>
      <c r="J159" s="2" t="s">
        <v>80</v>
      </c>
      <c r="K159" s="2" t="s">
        <v>51</v>
      </c>
      <c r="L159" s="2" t="s">
        <v>61</v>
      </c>
      <c r="M159" s="2" t="s">
        <v>62</v>
      </c>
      <c r="N159" s="2" t="s">
        <v>107</v>
      </c>
      <c r="O159" s="10">
        <v>169</v>
      </c>
      <c r="P159" t="s">
        <v>108</v>
      </c>
      <c r="Q159" t="str">
        <f>_xlfn.XLOOKUP(C:C,'[1]ErberthPereira-targetlist(20260'!$D:$D,'[1]ErberthPereira-targetlist(20260'!$C:$C)</f>
        <v>350218700246469</v>
      </c>
    </row>
    <row r="160" spans="3:17" x14ac:dyDescent="0.3">
      <c r="C160" s="2" t="s">
        <v>430</v>
      </c>
      <c r="D160" s="2">
        <v>2024</v>
      </c>
      <c r="E160" s="2" t="s">
        <v>133</v>
      </c>
      <c r="F160" s="2" t="s">
        <v>72</v>
      </c>
      <c r="G160" s="2" t="s">
        <v>19</v>
      </c>
      <c r="H160" s="9" t="s">
        <v>239</v>
      </c>
      <c r="I160" s="9" t="s">
        <v>106</v>
      </c>
      <c r="J160" s="2" t="s">
        <v>80</v>
      </c>
      <c r="K160" s="2" t="s">
        <v>51</v>
      </c>
      <c r="L160" s="2" t="s">
        <v>24</v>
      </c>
      <c r="M160" s="2" t="s">
        <v>194</v>
      </c>
      <c r="N160" s="2" t="s">
        <v>107</v>
      </c>
      <c r="O160" s="10">
        <v>169</v>
      </c>
      <c r="P160" t="s">
        <v>108</v>
      </c>
      <c r="Q160" t="str">
        <f>_xlfn.XLOOKUP(C:C,'[1]ErberthPereira-targetlist(20260'!$D:$D,'[1]ErberthPereira-targetlist(20260'!$C:$C)</f>
        <v>350218700131661</v>
      </c>
    </row>
    <row r="161" spans="3:17" x14ac:dyDescent="0.3">
      <c r="C161" s="2" t="s">
        <v>431</v>
      </c>
      <c r="D161" s="2">
        <v>2023</v>
      </c>
      <c r="E161" s="2" t="s">
        <v>229</v>
      </c>
      <c r="F161" s="2" t="s">
        <v>230</v>
      </c>
      <c r="G161" s="2" t="s">
        <v>231</v>
      </c>
      <c r="H161" s="9" t="s">
        <v>432</v>
      </c>
      <c r="I161" s="9" t="s">
        <v>313</v>
      </c>
      <c r="J161" s="2" t="s">
        <v>22</v>
      </c>
      <c r="K161" s="2" t="s">
        <v>23</v>
      </c>
      <c r="L161" s="2" t="s">
        <v>61</v>
      </c>
      <c r="M161" s="2" t="s">
        <v>74</v>
      </c>
      <c r="N161" s="2" t="s">
        <v>314</v>
      </c>
      <c r="O161">
        <v>127</v>
      </c>
      <c r="P161" t="s">
        <v>315</v>
      </c>
      <c r="Q161" t="str">
        <f>_xlfn.XLOOKUP(C:C,'[1]ErberthPereira-targetlist(20260'!$D:$D,'[1]ErberthPereira-targetlist(20260'!$C:$C)</f>
        <v>350218700173192</v>
      </c>
    </row>
    <row r="162" spans="3:17" x14ac:dyDescent="0.3">
      <c r="C162" s="2" t="s">
        <v>433</v>
      </c>
      <c r="D162" s="2">
        <v>2022</v>
      </c>
      <c r="E162" s="2" t="s">
        <v>400</v>
      </c>
      <c r="F162" s="2" t="s">
        <v>230</v>
      </c>
      <c r="G162" s="2" t="s">
        <v>19</v>
      </c>
      <c r="H162" s="9" t="s">
        <v>434</v>
      </c>
      <c r="I162" s="9" t="s">
        <v>263</v>
      </c>
      <c r="J162" s="2" t="s">
        <v>40</v>
      </c>
      <c r="K162" s="2" t="s">
        <v>23</v>
      </c>
      <c r="L162" s="2" t="s">
        <v>61</v>
      </c>
      <c r="M162" s="2" t="s">
        <v>62</v>
      </c>
      <c r="N162" s="2" t="s">
        <v>233</v>
      </c>
      <c r="O162" s="10">
        <v>169</v>
      </c>
      <c r="P162" t="s">
        <v>435</v>
      </c>
      <c r="Q162" t="str">
        <f>_xlfn.XLOOKUP(C:C,'[1]ErberthPereira-targetlist(20260'!$D:$D,'[1]ErberthPereira-targetlist(20260'!$C:$C)</f>
        <v>350218700200946</v>
      </c>
    </row>
    <row r="163" spans="3:17" x14ac:dyDescent="0.3">
      <c r="C163" s="2" t="s">
        <v>436</v>
      </c>
      <c r="D163" s="2">
        <v>2023</v>
      </c>
      <c r="E163" s="2" t="s">
        <v>17</v>
      </c>
      <c r="F163" s="2" t="s">
        <v>18</v>
      </c>
      <c r="G163" s="2" t="s">
        <v>19</v>
      </c>
      <c r="H163" s="9" t="s">
        <v>296</v>
      </c>
      <c r="I163" s="9" t="s">
        <v>437</v>
      </c>
      <c r="J163" s="2" t="s">
        <v>80</v>
      </c>
      <c r="K163" s="2" t="s">
        <v>23</v>
      </c>
      <c r="L163" s="2" t="s">
        <v>61</v>
      </c>
      <c r="M163" s="2" t="s">
        <v>62</v>
      </c>
      <c r="N163" s="2" t="s">
        <v>298</v>
      </c>
      <c r="O163" s="10">
        <v>169</v>
      </c>
      <c r="P163" t="s">
        <v>64</v>
      </c>
      <c r="Q163" t="str">
        <f>_xlfn.XLOOKUP(C:C,'[1]ErberthPereira-targetlist(20260'!$D:$D,'[1]ErberthPereira-targetlist(20260'!$C:$C)</f>
        <v>350218700194768</v>
      </c>
    </row>
    <row r="164" spans="3:17" x14ac:dyDescent="0.3">
      <c r="C164" s="2" t="s">
        <v>438</v>
      </c>
      <c r="D164" s="2">
        <v>2022</v>
      </c>
      <c r="E164" s="2" t="s">
        <v>403</v>
      </c>
      <c r="F164" s="2" t="s">
        <v>128</v>
      </c>
      <c r="G164" s="2" t="s">
        <v>19</v>
      </c>
      <c r="H164" s="9" t="s">
        <v>439</v>
      </c>
      <c r="I164" s="9" t="s">
        <v>199</v>
      </c>
      <c r="J164" s="2" t="s">
        <v>34</v>
      </c>
      <c r="K164" s="2" t="s">
        <v>23</v>
      </c>
      <c r="L164" s="2" t="s">
        <v>61</v>
      </c>
      <c r="M164" s="2" t="s">
        <v>74</v>
      </c>
      <c r="N164" s="2" t="s">
        <v>200</v>
      </c>
      <c r="O164">
        <v>127</v>
      </c>
      <c r="P164" t="s">
        <v>75</v>
      </c>
      <c r="Q164" t="str">
        <f>_xlfn.XLOOKUP(C:C,'[1]ErberthPereira-targetlist(20260'!$D:$D,'[1]ErberthPereira-targetlist(20260'!$C:$C)</f>
        <v>350218700139276</v>
      </c>
    </row>
    <row r="165" spans="3:17" x14ac:dyDescent="0.3">
      <c r="C165" s="2" t="s">
        <v>440</v>
      </c>
      <c r="D165" s="2">
        <v>2022</v>
      </c>
      <c r="E165" s="2" t="s">
        <v>441</v>
      </c>
      <c r="F165" s="2" t="s">
        <v>18</v>
      </c>
      <c r="G165" s="2" t="s">
        <v>19</v>
      </c>
      <c r="H165" s="9" t="s">
        <v>442</v>
      </c>
      <c r="I165" s="9" t="s">
        <v>243</v>
      </c>
      <c r="J165" s="2" t="s">
        <v>34</v>
      </c>
      <c r="K165" s="2" t="s">
        <v>51</v>
      </c>
      <c r="L165" s="2" t="s">
        <v>51</v>
      </c>
      <c r="M165" s="2" t="s">
        <v>443</v>
      </c>
      <c r="N165" s="2" t="s">
        <v>107</v>
      </c>
      <c r="O165">
        <v>127</v>
      </c>
      <c r="P165" t="s">
        <v>136</v>
      </c>
      <c r="Q165" t="str">
        <f>_xlfn.XLOOKUP(C:C,'[1]ErberthPereira-targetlist(20260'!$D:$D,'[1]ErberthPereira-targetlist(20260'!$C:$C)</f>
        <v>350218700148699</v>
      </c>
    </row>
    <row r="166" spans="3:17" x14ac:dyDescent="0.3">
      <c r="C166" s="2" t="s">
        <v>444</v>
      </c>
      <c r="D166" s="2">
        <v>2020</v>
      </c>
      <c r="E166" s="2" t="s">
        <v>17</v>
      </c>
      <c r="F166" s="2" t="s">
        <v>18</v>
      </c>
      <c r="G166" s="2" t="s">
        <v>19</v>
      </c>
      <c r="H166" s="9" t="s">
        <v>442</v>
      </c>
      <c r="I166" s="9" t="s">
        <v>243</v>
      </c>
      <c r="J166" s="2" t="s">
        <v>80</v>
      </c>
      <c r="K166" s="2" t="s">
        <v>51</v>
      </c>
      <c r="L166" s="2" t="s">
        <v>51</v>
      </c>
      <c r="M166" s="2" t="s">
        <v>443</v>
      </c>
      <c r="N166" s="2" t="s">
        <v>107</v>
      </c>
      <c r="O166" s="10">
        <v>169</v>
      </c>
      <c r="P166" t="s">
        <v>108</v>
      </c>
      <c r="Q166" t="str">
        <f>_xlfn.XLOOKUP(C:C,'[1]ErberthPereira-targetlist(20260'!$D:$D,'[1]ErberthPereira-targetlist(20260'!$C:$C)</f>
        <v>350218700165347</v>
      </c>
    </row>
    <row r="167" spans="3:17" x14ac:dyDescent="0.3">
      <c r="C167" s="2" t="s">
        <v>445</v>
      </c>
      <c r="D167" s="2">
        <v>2024</v>
      </c>
      <c r="E167" s="2" t="s">
        <v>133</v>
      </c>
      <c r="F167" s="2" t="s">
        <v>72</v>
      </c>
      <c r="G167" s="2" t="s">
        <v>19</v>
      </c>
      <c r="H167" s="9" t="s">
        <v>239</v>
      </c>
      <c r="I167" s="9" t="s">
        <v>446</v>
      </c>
      <c r="J167" s="2" t="s">
        <v>114</v>
      </c>
      <c r="K167" s="2" t="s">
        <v>51</v>
      </c>
      <c r="L167" s="2" t="s">
        <v>150</v>
      </c>
      <c r="M167" s="2" t="s">
        <v>194</v>
      </c>
      <c r="N167" s="2" t="s">
        <v>107</v>
      </c>
      <c r="O167" s="10">
        <v>170</v>
      </c>
      <c r="P167" t="s">
        <v>447</v>
      </c>
      <c r="Q167" t="str">
        <f>_xlfn.XLOOKUP(C:C,'[1]ErberthPereira-targetlist(20260'!$D:$D,'[1]ErberthPereira-targetlist(20260'!$C:$C)</f>
        <v>350218700217882</v>
      </c>
    </row>
    <row r="168" spans="3:17" x14ac:dyDescent="0.3">
      <c r="C168" s="2" t="s">
        <v>448</v>
      </c>
      <c r="D168" s="2">
        <v>2022</v>
      </c>
      <c r="E168" s="2" t="s">
        <v>307</v>
      </c>
      <c r="F168" s="2" t="s">
        <v>293</v>
      </c>
      <c r="G168" s="2" t="s">
        <v>19</v>
      </c>
      <c r="H168" s="9" t="s">
        <v>296</v>
      </c>
      <c r="I168" s="9" t="s">
        <v>39</v>
      </c>
      <c r="J168" s="2" t="s">
        <v>34</v>
      </c>
      <c r="K168" s="2" t="s">
        <v>23</v>
      </c>
      <c r="L168" s="2" t="s">
        <v>41</v>
      </c>
      <c r="M168" s="2" t="s">
        <v>42</v>
      </c>
      <c r="N168" s="2" t="s">
        <v>449</v>
      </c>
      <c r="O168" s="10">
        <v>169</v>
      </c>
      <c r="P168" t="s">
        <v>44</v>
      </c>
      <c r="Q168" t="str">
        <f>_xlfn.XLOOKUP(C:C,'[1]ErberthPereira-targetlist(20260'!$D:$D,'[1]ErberthPereira-targetlist(20260'!$C:$C)</f>
        <v>350218700215977</v>
      </c>
    </row>
    <row r="169" spans="3:17" x14ac:dyDescent="0.3">
      <c r="C169" s="2" t="s">
        <v>450</v>
      </c>
      <c r="D169" s="2">
        <v>2023</v>
      </c>
      <c r="E169" s="2" t="s">
        <v>164</v>
      </c>
      <c r="F169" s="2" t="s">
        <v>159</v>
      </c>
      <c r="G169" s="2" t="s">
        <v>214</v>
      </c>
      <c r="H169" s="9" t="s">
        <v>33</v>
      </c>
      <c r="I169" s="9" t="s">
        <v>30</v>
      </c>
      <c r="J169" s="2" t="s">
        <v>22</v>
      </c>
      <c r="K169" s="2" t="s">
        <v>33</v>
      </c>
      <c r="L169" s="2" t="s">
        <v>24</v>
      </c>
      <c r="M169" s="2" t="s">
        <v>31</v>
      </c>
      <c r="N169" s="2" t="s">
        <v>289</v>
      </c>
      <c r="O169">
        <v>127</v>
      </c>
      <c r="P169" t="s">
        <v>162</v>
      </c>
      <c r="Q169" t="str">
        <f>_xlfn.XLOOKUP(C:C,'[1]ErberthPereira-targetlist(20260'!$D:$D,'[1]ErberthPereira-targetlist(20260'!$C:$C)</f>
        <v>350218700152352</v>
      </c>
    </row>
    <row r="170" spans="3:17" x14ac:dyDescent="0.3">
      <c r="C170" s="2" t="s">
        <v>451</v>
      </c>
      <c r="D170" s="2">
        <v>2023</v>
      </c>
      <c r="E170" s="2" t="s">
        <v>17</v>
      </c>
      <c r="F170" s="2" t="s">
        <v>18</v>
      </c>
      <c r="G170" s="2" t="s">
        <v>19</v>
      </c>
      <c r="H170" s="9" t="s">
        <v>33</v>
      </c>
      <c r="I170" s="9" t="s">
        <v>39</v>
      </c>
      <c r="J170" s="2" t="s">
        <v>80</v>
      </c>
      <c r="K170" s="2" t="s">
        <v>33</v>
      </c>
      <c r="L170" s="2" t="s">
        <v>41</v>
      </c>
      <c r="M170" s="2" t="s">
        <v>42</v>
      </c>
      <c r="N170" s="2" t="s">
        <v>77</v>
      </c>
      <c r="O170" s="10">
        <v>169</v>
      </c>
      <c r="P170" t="s">
        <v>44</v>
      </c>
      <c r="Q170" t="str">
        <f>_xlfn.XLOOKUP(C:C,'[1]ErberthPereira-targetlist(20260'!$D:$D,'[1]ErberthPereira-targetlist(20260'!$C:$C)</f>
        <v>350218700196086</v>
      </c>
    </row>
    <row r="171" spans="3:17" x14ac:dyDescent="0.3">
      <c r="C171" s="2" t="s">
        <v>452</v>
      </c>
      <c r="D171" s="2">
        <v>2024</v>
      </c>
      <c r="E171" s="2" t="s">
        <v>158</v>
      </c>
      <c r="F171" s="2" t="s">
        <v>159</v>
      </c>
      <c r="G171" s="2" t="s">
        <v>19</v>
      </c>
      <c r="H171" s="9" t="s">
        <v>453</v>
      </c>
      <c r="I171" s="9" t="s">
        <v>166</v>
      </c>
      <c r="J171" s="2" t="s">
        <v>80</v>
      </c>
      <c r="K171" s="2" t="s">
        <v>23</v>
      </c>
      <c r="L171" s="2" t="s">
        <v>24</v>
      </c>
      <c r="M171" s="2" t="s">
        <v>106</v>
      </c>
      <c r="N171" s="2" t="s">
        <v>171</v>
      </c>
      <c r="O171" s="10">
        <v>169</v>
      </c>
      <c r="P171" t="s">
        <v>167</v>
      </c>
      <c r="Q171" t="str">
        <f>_xlfn.XLOOKUP(C:C,'[1]ErberthPereira-targetlist(20260'!$D:$D,'[1]ErberthPereira-targetlist(20260'!$C:$C)</f>
        <v>350218700193901</v>
      </c>
    </row>
    <row r="172" spans="3:17" x14ac:dyDescent="0.3">
      <c r="C172" s="2" t="s">
        <v>454</v>
      </c>
      <c r="D172" s="2">
        <v>2023</v>
      </c>
      <c r="E172" s="2" t="s">
        <v>164</v>
      </c>
      <c r="F172" s="2" t="s">
        <v>159</v>
      </c>
      <c r="G172" s="2" t="s">
        <v>19</v>
      </c>
      <c r="H172" s="9" t="s">
        <v>455</v>
      </c>
      <c r="I172" s="9" t="s">
        <v>170</v>
      </c>
      <c r="J172" s="2" t="s">
        <v>40</v>
      </c>
      <c r="K172" s="2" t="s">
        <v>23</v>
      </c>
      <c r="L172" s="2" t="s">
        <v>24</v>
      </c>
      <c r="M172" s="2" t="s">
        <v>106</v>
      </c>
      <c r="N172" s="2" t="s">
        <v>161</v>
      </c>
      <c r="O172" s="10">
        <v>169</v>
      </c>
      <c r="P172" t="s">
        <v>167</v>
      </c>
      <c r="Q172" t="str">
        <f>_xlfn.XLOOKUP(C:C,'[1]ErberthPereira-targetlist(20260'!$D:$D,'[1]ErberthPereira-targetlist(20260'!$C:$C)</f>
        <v>350218700196334</v>
      </c>
    </row>
    <row r="173" spans="3:17" x14ac:dyDescent="0.3">
      <c r="C173" s="2" t="s">
        <v>456</v>
      </c>
      <c r="D173" s="2">
        <v>2017</v>
      </c>
      <c r="E173" s="2" t="s">
        <v>127</v>
      </c>
      <c r="F173" s="2" t="s">
        <v>128</v>
      </c>
      <c r="G173" s="2" t="s">
        <v>19</v>
      </c>
      <c r="H173" s="9" t="s">
        <v>457</v>
      </c>
      <c r="I173" s="9" t="s">
        <v>130</v>
      </c>
      <c r="J173" s="2" t="s">
        <v>80</v>
      </c>
      <c r="K173" s="2" t="s">
        <v>23</v>
      </c>
      <c r="L173" s="2" t="s">
        <v>61</v>
      </c>
      <c r="M173" s="2" t="s">
        <v>62</v>
      </c>
      <c r="N173" s="2" t="s">
        <v>200</v>
      </c>
      <c r="O173" s="10">
        <v>169</v>
      </c>
      <c r="P173" t="s">
        <v>64</v>
      </c>
      <c r="Q173" t="str">
        <f>_xlfn.XLOOKUP(C:C,'[1]ErberthPereira-targetlist(20260'!$D:$D,'[1]ErberthPereira-targetlist(20260'!$C:$C)</f>
        <v>350218700176575</v>
      </c>
    </row>
    <row r="174" spans="3:17" x14ac:dyDescent="0.3">
      <c r="C174" s="2" t="s">
        <v>458</v>
      </c>
      <c r="D174" s="2">
        <v>2023</v>
      </c>
      <c r="E174" s="2" t="s">
        <v>236</v>
      </c>
      <c r="F174" s="2" t="s">
        <v>128</v>
      </c>
      <c r="G174" s="2" t="s">
        <v>231</v>
      </c>
      <c r="H174" s="9" t="s">
        <v>459</v>
      </c>
      <c r="I174" s="9" t="s">
        <v>130</v>
      </c>
      <c r="J174" s="2" t="s">
        <v>80</v>
      </c>
      <c r="K174" s="2" t="s">
        <v>23</v>
      </c>
      <c r="L174" s="2" t="s">
        <v>61</v>
      </c>
      <c r="M174" s="2" t="s">
        <v>62</v>
      </c>
      <c r="N174" s="2" t="s">
        <v>200</v>
      </c>
      <c r="O174" s="10">
        <v>169</v>
      </c>
      <c r="P174" t="s">
        <v>64</v>
      </c>
      <c r="Q174" t="str">
        <f>_xlfn.XLOOKUP(C:C,'[1]ErberthPereira-targetlist(20260'!$D:$D,'[1]ErberthPereira-targetlist(20260'!$C:$C)</f>
        <v>350218700117041</v>
      </c>
    </row>
    <row r="175" spans="3:17" x14ac:dyDescent="0.3">
      <c r="C175" s="2" t="s">
        <v>460</v>
      </c>
      <c r="D175" s="2">
        <v>2023</v>
      </c>
      <c r="E175" s="2" t="s">
        <v>229</v>
      </c>
      <c r="F175" s="2" t="s">
        <v>230</v>
      </c>
      <c r="G175" s="2" t="s">
        <v>231</v>
      </c>
      <c r="H175" s="9" t="s">
        <v>461</v>
      </c>
      <c r="I175" s="9" t="s">
        <v>313</v>
      </c>
      <c r="J175" s="2" t="s">
        <v>22</v>
      </c>
      <c r="K175" s="2" t="s">
        <v>23</v>
      </c>
      <c r="L175" s="2" t="s">
        <v>61</v>
      </c>
      <c r="M175" s="2" t="s">
        <v>74</v>
      </c>
      <c r="N175" s="2" t="s">
        <v>314</v>
      </c>
      <c r="O175">
        <v>127</v>
      </c>
      <c r="P175" t="s">
        <v>315</v>
      </c>
      <c r="Q175" t="str">
        <f>_xlfn.XLOOKUP(C:C,'[1]ErberthPereira-targetlist(20260'!$D:$D,'[1]ErberthPereira-targetlist(20260'!$C:$C)</f>
        <v>350218700196912</v>
      </c>
    </row>
    <row r="176" spans="3:17" x14ac:dyDescent="0.3">
      <c r="C176" s="2" t="s">
        <v>462</v>
      </c>
      <c r="D176" s="2">
        <v>2024</v>
      </c>
      <c r="E176" s="2" t="s">
        <v>292</v>
      </c>
      <c r="F176" s="2" t="s">
        <v>293</v>
      </c>
      <c r="G176" s="2" t="s">
        <v>19</v>
      </c>
      <c r="H176" s="9" t="s">
        <v>296</v>
      </c>
      <c r="I176" s="9" t="s">
        <v>463</v>
      </c>
      <c r="J176" s="2" t="s">
        <v>34</v>
      </c>
      <c r="K176" s="2" t="s">
        <v>23</v>
      </c>
      <c r="L176" s="2" t="s">
        <v>61</v>
      </c>
      <c r="M176" s="2" t="s">
        <v>74</v>
      </c>
      <c r="N176" s="2" t="s">
        <v>298</v>
      </c>
      <c r="O176">
        <v>127</v>
      </c>
      <c r="P176" t="s">
        <v>75</v>
      </c>
      <c r="Q176" t="str">
        <f>_xlfn.XLOOKUP(C:C,'[1]ErberthPereira-targetlist(20260'!$D:$D,'[1]ErberthPereira-targetlist(20260'!$C:$C)</f>
        <v>350218700179702</v>
      </c>
    </row>
    <row r="177" spans="3:17" x14ac:dyDescent="0.3">
      <c r="C177" s="2" t="s">
        <v>464</v>
      </c>
      <c r="D177" s="2">
        <v>2023</v>
      </c>
      <c r="E177" s="2" t="s">
        <v>229</v>
      </c>
      <c r="F177" s="2" t="s">
        <v>230</v>
      </c>
      <c r="G177" s="2" t="s">
        <v>231</v>
      </c>
      <c r="H177" s="9" t="s">
        <v>465</v>
      </c>
      <c r="I177" s="9" t="s">
        <v>176</v>
      </c>
      <c r="J177" s="2" t="s">
        <v>80</v>
      </c>
      <c r="K177" s="2" t="s">
        <v>23</v>
      </c>
      <c r="L177" s="2" t="s">
        <v>61</v>
      </c>
      <c r="M177" s="2" t="s">
        <v>62</v>
      </c>
      <c r="N177" s="2" t="s">
        <v>233</v>
      </c>
      <c r="O177" s="10">
        <v>169</v>
      </c>
      <c r="P177" t="s">
        <v>435</v>
      </c>
      <c r="Q177" t="str">
        <f>_xlfn.XLOOKUP(C:C,'[1]ErberthPereira-targetlist(20260'!$D:$D,'[1]ErberthPereira-targetlist(20260'!$C:$C)</f>
        <v>350218700116134</v>
      </c>
    </row>
    <row r="178" spans="3:17" x14ac:dyDescent="0.3">
      <c r="C178" s="2" t="s">
        <v>466</v>
      </c>
      <c r="D178" s="2">
        <v>2023</v>
      </c>
      <c r="E178" s="2" t="s">
        <v>300</v>
      </c>
      <c r="F178" s="2" t="s">
        <v>301</v>
      </c>
      <c r="G178" s="2" t="s">
        <v>231</v>
      </c>
      <c r="H178" s="9" t="s">
        <v>467</v>
      </c>
      <c r="I178" s="9" t="s">
        <v>302</v>
      </c>
      <c r="J178" s="2" t="s">
        <v>139</v>
      </c>
      <c r="K178" s="2" t="s">
        <v>23</v>
      </c>
      <c r="L178" s="2" t="s">
        <v>61</v>
      </c>
      <c r="M178" s="2" t="s">
        <v>74</v>
      </c>
      <c r="N178" s="2" t="s">
        <v>468</v>
      </c>
      <c r="O178">
        <v>127</v>
      </c>
      <c r="P178" t="s">
        <v>304</v>
      </c>
      <c r="Q178" t="str">
        <f>_xlfn.XLOOKUP(C:C,'[1]ErberthPereira-targetlist(20260'!$D:$D,'[1]ErberthPereira-targetlist(20260'!$C:$C)</f>
        <v>350218700271376</v>
      </c>
    </row>
    <row r="179" spans="3:17" x14ac:dyDescent="0.3">
      <c r="C179" s="2" t="s">
        <v>469</v>
      </c>
      <c r="D179" s="2">
        <v>2023</v>
      </c>
      <c r="E179" s="2" t="s">
        <v>300</v>
      </c>
      <c r="F179" s="2" t="s">
        <v>301</v>
      </c>
      <c r="G179" s="2" t="s">
        <v>231</v>
      </c>
      <c r="H179" s="9" t="s">
        <v>470</v>
      </c>
      <c r="I179" s="9" t="s">
        <v>263</v>
      </c>
      <c r="J179" s="2" t="s">
        <v>40</v>
      </c>
      <c r="K179" s="2" t="s">
        <v>23</v>
      </c>
      <c r="L179" s="2" t="s">
        <v>61</v>
      </c>
      <c r="M179" s="2" t="s">
        <v>62</v>
      </c>
      <c r="N179" s="2" t="s">
        <v>468</v>
      </c>
      <c r="O179" s="10">
        <v>169</v>
      </c>
      <c r="P179" t="s">
        <v>471</v>
      </c>
      <c r="Q179" t="str">
        <f>_xlfn.XLOOKUP(C:C,'[1]ErberthPereira-targetlist(20260'!$D:$D,'[1]ErberthPereira-targetlist(20260'!$C:$C)</f>
        <v>350218700219565</v>
      </c>
    </row>
    <row r="180" spans="3:17" x14ac:dyDescent="0.3">
      <c r="C180" s="2" t="s">
        <v>472</v>
      </c>
      <c r="D180" s="2">
        <v>2023</v>
      </c>
      <c r="E180" s="2" t="s">
        <v>229</v>
      </c>
      <c r="F180" s="2" t="s">
        <v>230</v>
      </c>
      <c r="G180" s="2" t="s">
        <v>231</v>
      </c>
      <c r="H180" s="9" t="s">
        <v>473</v>
      </c>
      <c r="I180" s="9" t="s">
        <v>313</v>
      </c>
      <c r="J180" s="2" t="s">
        <v>139</v>
      </c>
      <c r="K180" s="2" t="s">
        <v>23</v>
      </c>
      <c r="L180" s="2" t="s">
        <v>61</v>
      </c>
      <c r="M180" s="2" t="s">
        <v>74</v>
      </c>
      <c r="N180" s="2" t="s">
        <v>314</v>
      </c>
      <c r="O180">
        <v>127</v>
      </c>
      <c r="P180" t="s">
        <v>315</v>
      </c>
      <c r="Q180" t="str">
        <f>_xlfn.XLOOKUP(C:C,'[1]ErberthPereira-targetlist(20260'!$D:$D,'[1]ErberthPereira-targetlist(20260'!$C:$C)</f>
        <v>350218700211968</v>
      </c>
    </row>
    <row r="181" spans="3:17" x14ac:dyDescent="0.3">
      <c r="C181" s="2" t="s">
        <v>474</v>
      </c>
      <c r="D181" s="2">
        <v>2023</v>
      </c>
      <c r="E181" s="2" t="s">
        <v>229</v>
      </c>
      <c r="F181" s="2" t="s">
        <v>230</v>
      </c>
      <c r="G181" s="2" t="s">
        <v>231</v>
      </c>
      <c r="H181" s="9" t="s">
        <v>475</v>
      </c>
      <c r="I181" s="9" t="s">
        <v>176</v>
      </c>
      <c r="J181" s="2" t="s">
        <v>80</v>
      </c>
      <c r="K181" s="2" t="s">
        <v>23</v>
      </c>
      <c r="L181" s="2" t="s">
        <v>61</v>
      </c>
      <c r="M181" s="2" t="s">
        <v>62</v>
      </c>
      <c r="N181" s="2" t="s">
        <v>314</v>
      </c>
      <c r="O181" s="10">
        <v>169</v>
      </c>
      <c r="P181" t="s">
        <v>409</v>
      </c>
      <c r="Q181" t="str">
        <f>_xlfn.XLOOKUP(C:C,'[1]ErberthPereira-targetlist(20260'!$D:$D,'[1]ErberthPereira-targetlist(20260'!$C:$C)</f>
        <v>350218700118767</v>
      </c>
    </row>
    <row r="182" spans="3:17" x14ac:dyDescent="0.3">
      <c r="C182" s="2" t="s">
        <v>476</v>
      </c>
      <c r="D182" s="2">
        <v>2024</v>
      </c>
      <c r="E182" s="2" t="s">
        <v>292</v>
      </c>
      <c r="F182" s="2" t="s">
        <v>293</v>
      </c>
      <c r="G182" s="2" t="s">
        <v>19</v>
      </c>
      <c r="H182" s="9" t="s">
        <v>296</v>
      </c>
      <c r="I182" s="9" t="s">
        <v>477</v>
      </c>
      <c r="J182" s="2" t="s">
        <v>34</v>
      </c>
      <c r="K182" s="2" t="s">
        <v>23</v>
      </c>
      <c r="L182" s="2" t="s">
        <v>61</v>
      </c>
      <c r="M182" s="2" t="s">
        <v>74</v>
      </c>
      <c r="N182" s="2" t="s">
        <v>298</v>
      </c>
      <c r="O182">
        <v>127</v>
      </c>
      <c r="P182" t="s">
        <v>75</v>
      </c>
      <c r="Q182" t="str">
        <f>_xlfn.XLOOKUP(C:C,'[1]ErberthPereira-targetlist(20260'!$D:$D,'[1]ErberthPereira-targetlist(20260'!$C:$C)</f>
        <v>350218700006830</v>
      </c>
    </row>
    <row r="183" spans="3:17" x14ac:dyDescent="0.3">
      <c r="C183" s="2" t="s">
        <v>478</v>
      </c>
      <c r="D183" s="2">
        <v>2023</v>
      </c>
      <c r="E183" s="2" t="s">
        <v>300</v>
      </c>
      <c r="F183" s="2" t="s">
        <v>301</v>
      </c>
      <c r="G183" s="2" t="s">
        <v>231</v>
      </c>
      <c r="H183" s="9" t="s">
        <v>479</v>
      </c>
      <c r="I183" s="9" t="s">
        <v>176</v>
      </c>
      <c r="J183" s="2" t="s">
        <v>80</v>
      </c>
      <c r="K183" s="2" t="s">
        <v>23</v>
      </c>
      <c r="L183" s="2" t="s">
        <v>61</v>
      </c>
      <c r="M183" s="2" t="s">
        <v>62</v>
      </c>
      <c r="N183" s="2" t="s">
        <v>468</v>
      </c>
      <c r="O183" s="10">
        <v>169</v>
      </c>
      <c r="P183" t="s">
        <v>471</v>
      </c>
      <c r="Q183" t="str">
        <f>_xlfn.XLOOKUP(C:C,'[1]ErberthPereira-targetlist(20260'!$D:$D,'[1]ErberthPereira-targetlist(20260'!$C:$C)</f>
        <v>350218700147493</v>
      </c>
    </row>
    <row r="184" spans="3:17" x14ac:dyDescent="0.3">
      <c r="C184" s="2" t="s">
        <v>480</v>
      </c>
      <c r="D184" s="2">
        <v>2023</v>
      </c>
      <c r="E184" s="2" t="s">
        <v>300</v>
      </c>
      <c r="F184" s="2" t="s">
        <v>301</v>
      </c>
      <c r="G184" s="2" t="s">
        <v>231</v>
      </c>
      <c r="H184" s="9" t="s">
        <v>481</v>
      </c>
      <c r="I184" s="9" t="s">
        <v>176</v>
      </c>
      <c r="J184" s="2" t="s">
        <v>80</v>
      </c>
      <c r="K184" s="2" t="s">
        <v>23</v>
      </c>
      <c r="L184" s="2" t="s">
        <v>61</v>
      </c>
      <c r="M184" s="2" t="s">
        <v>62</v>
      </c>
      <c r="N184" s="2" t="s">
        <v>468</v>
      </c>
      <c r="O184" s="10">
        <v>169</v>
      </c>
      <c r="P184" t="s">
        <v>471</v>
      </c>
      <c r="Q184" t="str">
        <f>_xlfn.XLOOKUP(C:C,'[1]ErberthPereira-targetlist(20260'!$D:$D,'[1]ErberthPereira-targetlist(20260'!$C:$C)</f>
        <v>350218700217478</v>
      </c>
    </row>
    <row r="185" spans="3:17" x14ac:dyDescent="0.3">
      <c r="C185" s="2" t="s">
        <v>482</v>
      </c>
      <c r="D185" s="2">
        <v>2023</v>
      </c>
      <c r="E185" s="2" t="s">
        <v>229</v>
      </c>
      <c r="F185" s="2" t="s">
        <v>230</v>
      </c>
      <c r="G185" s="2" t="s">
        <v>231</v>
      </c>
      <c r="H185" s="9" t="s">
        <v>483</v>
      </c>
      <c r="I185" s="9" t="s">
        <v>313</v>
      </c>
      <c r="J185" s="2" t="s">
        <v>139</v>
      </c>
      <c r="K185" s="2" t="s">
        <v>23</v>
      </c>
      <c r="L185" s="2" t="s">
        <v>61</v>
      </c>
      <c r="M185" s="2" t="s">
        <v>74</v>
      </c>
      <c r="N185" s="2" t="s">
        <v>314</v>
      </c>
      <c r="O185">
        <v>127</v>
      </c>
      <c r="P185" t="s">
        <v>315</v>
      </c>
      <c r="Q185" t="str">
        <f>_xlfn.XLOOKUP(C:C,'[1]ErberthPereira-targetlist(20260'!$D:$D,'[1]ErberthPereira-targetlist(20260'!$C:$C)</f>
        <v>350218700162351</v>
      </c>
    </row>
    <row r="186" spans="3:17" x14ac:dyDescent="0.3">
      <c r="C186" s="2" t="s">
        <v>484</v>
      </c>
      <c r="D186" s="2">
        <v>2024</v>
      </c>
      <c r="E186" s="2" t="s">
        <v>292</v>
      </c>
      <c r="F186" s="2" t="s">
        <v>293</v>
      </c>
      <c r="G186" s="2" t="s">
        <v>19</v>
      </c>
      <c r="H186" s="9" t="s">
        <v>296</v>
      </c>
      <c r="I186" s="9" t="s">
        <v>485</v>
      </c>
      <c r="J186" s="2" t="s">
        <v>34</v>
      </c>
      <c r="K186" s="2" t="s">
        <v>23</v>
      </c>
      <c r="L186" s="2" t="s">
        <v>61</v>
      </c>
      <c r="M186" s="2" t="s">
        <v>74</v>
      </c>
      <c r="N186" s="2" t="s">
        <v>298</v>
      </c>
      <c r="O186">
        <v>127</v>
      </c>
      <c r="P186" t="s">
        <v>75</v>
      </c>
      <c r="Q186" t="str">
        <f>_xlfn.XLOOKUP(C:C,'[1]ErberthPereira-targetlist(20260'!$D:$D,'[1]ErberthPereira-targetlist(20260'!$C:$C)</f>
        <v>350218700150679</v>
      </c>
    </row>
    <row r="187" spans="3:17" x14ac:dyDescent="0.3">
      <c r="C187" s="2" t="s">
        <v>486</v>
      </c>
      <c r="D187" s="2">
        <v>2023</v>
      </c>
      <c r="E187" s="2" t="s">
        <v>300</v>
      </c>
      <c r="F187" s="2" t="s">
        <v>301</v>
      </c>
      <c r="G187" s="2" t="s">
        <v>231</v>
      </c>
      <c r="H187" s="9" t="s">
        <v>487</v>
      </c>
      <c r="I187" s="9" t="s">
        <v>302</v>
      </c>
      <c r="J187" s="2" t="s">
        <v>22</v>
      </c>
      <c r="K187" s="2" t="s">
        <v>23</v>
      </c>
      <c r="L187" s="2" t="s">
        <v>61</v>
      </c>
      <c r="M187" s="2" t="s">
        <v>74</v>
      </c>
      <c r="N187" s="2" t="s">
        <v>468</v>
      </c>
      <c r="O187">
        <v>127</v>
      </c>
      <c r="P187" t="s">
        <v>304</v>
      </c>
      <c r="Q187" t="str">
        <f>_xlfn.XLOOKUP(C:C,'[1]ErberthPereira-targetlist(20260'!$D:$D,'[1]ErberthPereira-targetlist(20260'!$C:$C)</f>
        <v>350218700194107</v>
      </c>
    </row>
    <row r="188" spans="3:17" x14ac:dyDescent="0.3">
      <c r="C188" s="2" t="s">
        <v>488</v>
      </c>
      <c r="D188" s="2">
        <v>2021</v>
      </c>
      <c r="E188" s="2" t="s">
        <v>175</v>
      </c>
      <c r="F188" s="2" t="s">
        <v>72</v>
      </c>
      <c r="G188" s="2" t="s">
        <v>19</v>
      </c>
      <c r="H188" s="9" t="s">
        <v>489</v>
      </c>
      <c r="I188" s="9" t="s">
        <v>490</v>
      </c>
      <c r="J188" s="2" t="s">
        <v>34</v>
      </c>
      <c r="K188" s="2" t="s">
        <v>51</v>
      </c>
      <c r="L188" s="2" t="s">
        <v>51</v>
      </c>
      <c r="M188" s="2" t="s">
        <v>194</v>
      </c>
      <c r="N188" s="2" t="s">
        <v>107</v>
      </c>
      <c r="O188">
        <v>127</v>
      </c>
      <c r="P188" t="s">
        <v>136</v>
      </c>
      <c r="Q188" t="str">
        <f>_xlfn.XLOOKUP(C:C,'[1]ErberthPereira-targetlist(20260'!$D:$D,'[1]ErberthPereira-targetlist(20260'!$C:$C)</f>
        <v>350218700240678</v>
      </c>
    </row>
    <row r="189" spans="3:17" x14ac:dyDescent="0.3">
      <c r="C189" s="2" t="s">
        <v>491</v>
      </c>
      <c r="D189" s="2">
        <v>2024</v>
      </c>
      <c r="E189" s="2" t="s">
        <v>158</v>
      </c>
      <c r="F189" s="2" t="s">
        <v>159</v>
      </c>
      <c r="G189" s="2" t="s">
        <v>19</v>
      </c>
      <c r="H189" s="9" t="s">
        <v>492</v>
      </c>
      <c r="I189" s="9" t="s">
        <v>166</v>
      </c>
      <c r="J189" s="2" t="s">
        <v>80</v>
      </c>
      <c r="K189" s="2" t="s">
        <v>23</v>
      </c>
      <c r="L189" s="2" t="s">
        <v>24</v>
      </c>
      <c r="M189" s="2" t="s">
        <v>106</v>
      </c>
      <c r="N189" s="2" t="s">
        <v>171</v>
      </c>
      <c r="O189" s="10">
        <v>169</v>
      </c>
      <c r="P189" t="s">
        <v>167</v>
      </c>
      <c r="Q189" t="str">
        <f>_xlfn.XLOOKUP(C:C,'[1]ErberthPereira-targetlist(20260'!$D:$D,'[1]ErberthPereira-targetlist(20260'!$C:$C)</f>
        <v>350218700200664</v>
      </c>
    </row>
    <row r="190" spans="3:17" x14ac:dyDescent="0.3">
      <c r="C190" s="2" t="s">
        <v>493</v>
      </c>
      <c r="D190" s="2">
        <v>2020</v>
      </c>
      <c r="E190" s="2" t="s">
        <v>17</v>
      </c>
      <c r="F190" s="2" t="s">
        <v>18</v>
      </c>
      <c r="G190" s="2" t="s">
        <v>19</v>
      </c>
      <c r="H190" s="9" t="s">
        <v>33</v>
      </c>
      <c r="I190" s="9" t="s">
        <v>39</v>
      </c>
      <c r="J190" s="2" t="s">
        <v>80</v>
      </c>
      <c r="K190" s="2" t="s">
        <v>33</v>
      </c>
      <c r="L190" s="2" t="s">
        <v>41</v>
      </c>
      <c r="M190" s="2" t="s">
        <v>42</v>
      </c>
      <c r="N190" s="2" t="s">
        <v>77</v>
      </c>
      <c r="O190" s="10">
        <v>169</v>
      </c>
      <c r="P190" t="s">
        <v>44</v>
      </c>
      <c r="Q190" t="str">
        <f>_xlfn.XLOOKUP(C:C,'[1]ErberthPereira-targetlist(20260'!$D:$D,'[1]ErberthPereira-targetlist(20260'!$C:$C)</f>
        <v>350218700162864</v>
      </c>
    </row>
    <row r="191" spans="3:17" x14ac:dyDescent="0.3">
      <c r="C191" s="2" t="s">
        <v>494</v>
      </c>
      <c r="D191" s="2">
        <v>2024</v>
      </c>
      <c r="E191" s="2" t="s">
        <v>133</v>
      </c>
      <c r="F191" s="2" t="s">
        <v>72</v>
      </c>
      <c r="G191" s="2" t="s">
        <v>19</v>
      </c>
      <c r="H191" s="9" t="s">
        <v>134</v>
      </c>
      <c r="I191" s="9" t="s">
        <v>302</v>
      </c>
      <c r="J191" s="2" t="s">
        <v>34</v>
      </c>
      <c r="K191" s="2" t="s">
        <v>51</v>
      </c>
      <c r="L191" s="2" t="s">
        <v>61</v>
      </c>
      <c r="M191" s="2" t="s">
        <v>74</v>
      </c>
      <c r="N191" s="2" t="s">
        <v>107</v>
      </c>
      <c r="O191">
        <v>127</v>
      </c>
      <c r="P191" t="s">
        <v>136</v>
      </c>
      <c r="Q191" t="str">
        <f>_xlfn.XLOOKUP(C:C,'[1]ErberthPereira-targetlist(20260'!$D:$D,'[1]ErberthPereira-targetlist(20260'!$C:$C)</f>
        <v>350218700102761</v>
      </c>
    </row>
    <row r="192" spans="3:17" x14ac:dyDescent="0.3">
      <c r="C192" s="2" t="s">
        <v>495</v>
      </c>
      <c r="D192" s="2">
        <v>2024</v>
      </c>
      <c r="E192" s="2" t="s">
        <v>133</v>
      </c>
      <c r="F192" s="2" t="s">
        <v>72</v>
      </c>
      <c r="G192" s="2" t="s">
        <v>19</v>
      </c>
      <c r="H192" s="9" t="s">
        <v>134</v>
      </c>
      <c r="I192" s="9" t="s">
        <v>30</v>
      </c>
      <c r="J192" s="2" t="s">
        <v>22</v>
      </c>
      <c r="K192" s="2" t="s">
        <v>51</v>
      </c>
      <c r="L192" s="2" t="s">
        <v>61</v>
      </c>
      <c r="M192" s="2" t="s">
        <v>74</v>
      </c>
      <c r="N192" s="2" t="s">
        <v>107</v>
      </c>
      <c r="O192">
        <v>127</v>
      </c>
      <c r="P192" t="s">
        <v>136</v>
      </c>
      <c r="Q192" t="str">
        <f>_xlfn.XLOOKUP(C:C,'[1]ErberthPereira-targetlist(20260'!$D:$D,'[1]ErberthPereira-targetlist(20260'!$C:$C)</f>
        <v>350218700240306</v>
      </c>
    </row>
    <row r="193" spans="3:17" x14ac:dyDescent="0.3">
      <c r="C193" s="2" t="s">
        <v>496</v>
      </c>
      <c r="D193" s="2">
        <v>2019</v>
      </c>
      <c r="E193" s="2" t="s">
        <v>198</v>
      </c>
      <c r="F193" s="2" t="s">
        <v>128</v>
      </c>
      <c r="G193" s="2" t="s">
        <v>19</v>
      </c>
      <c r="H193" s="9" t="s">
        <v>497</v>
      </c>
      <c r="I193" s="9" t="s">
        <v>196</v>
      </c>
      <c r="J193" s="2" t="s">
        <v>40</v>
      </c>
      <c r="K193" s="2" t="s">
        <v>23</v>
      </c>
      <c r="L193" s="2" t="s">
        <v>61</v>
      </c>
      <c r="M193" s="2" t="s">
        <v>62</v>
      </c>
      <c r="N193" s="2" t="s">
        <v>200</v>
      </c>
      <c r="O193" s="10">
        <v>169</v>
      </c>
      <c r="P193" t="s">
        <v>64</v>
      </c>
      <c r="Q193" t="str">
        <f>_xlfn.XLOOKUP(C:C,'[1]ErberthPereira-targetlist(20260'!$D:$D,'[1]ErberthPereira-targetlist(20260'!$C:$C)</f>
        <v>350218700192820</v>
      </c>
    </row>
    <row r="194" spans="3:17" x14ac:dyDescent="0.3">
      <c r="C194" s="2" t="s">
        <v>498</v>
      </c>
      <c r="D194" s="2">
        <v>2023</v>
      </c>
      <c r="E194" s="2" t="s">
        <v>229</v>
      </c>
      <c r="F194" s="2" t="s">
        <v>230</v>
      </c>
      <c r="G194" s="2" t="s">
        <v>231</v>
      </c>
      <c r="H194" s="9" t="s">
        <v>499</v>
      </c>
      <c r="I194" s="9" t="s">
        <v>500</v>
      </c>
      <c r="J194" s="2" t="s">
        <v>22</v>
      </c>
      <c r="K194" s="2" t="s">
        <v>23</v>
      </c>
      <c r="L194" s="2" t="s">
        <v>61</v>
      </c>
      <c r="M194" s="2" t="s">
        <v>74</v>
      </c>
      <c r="N194" s="2" t="s">
        <v>233</v>
      </c>
      <c r="O194">
        <v>127</v>
      </c>
      <c r="P194" t="s">
        <v>234</v>
      </c>
      <c r="Q194" t="str">
        <f>_xlfn.XLOOKUP(C:C,'[1]ErberthPereira-targetlist(20260'!$D:$D,'[1]ErberthPereira-targetlist(20260'!$C:$C)</f>
        <v>350218700147006</v>
      </c>
    </row>
    <row r="195" spans="3:17" x14ac:dyDescent="0.3">
      <c r="C195" s="2" t="s">
        <v>501</v>
      </c>
      <c r="D195" s="2">
        <v>2023</v>
      </c>
      <c r="E195" s="2" t="s">
        <v>236</v>
      </c>
      <c r="F195" s="2" t="s">
        <v>128</v>
      </c>
      <c r="G195" s="2" t="s">
        <v>231</v>
      </c>
      <c r="H195" s="9" t="s">
        <v>502</v>
      </c>
      <c r="I195" s="9" t="s">
        <v>130</v>
      </c>
      <c r="J195" s="2" t="s">
        <v>80</v>
      </c>
      <c r="K195" s="2" t="s">
        <v>23</v>
      </c>
      <c r="L195" s="2" t="s">
        <v>61</v>
      </c>
      <c r="M195" s="2" t="s">
        <v>62</v>
      </c>
      <c r="N195" s="2" t="s">
        <v>200</v>
      </c>
      <c r="O195" s="10">
        <v>169</v>
      </c>
      <c r="P195" t="s">
        <v>64</v>
      </c>
      <c r="Q195" t="str">
        <f>_xlfn.XLOOKUP(C:C,'[1]ErberthPereira-targetlist(20260'!$D:$D,'[1]ErberthPereira-targetlist(20260'!$C:$C)</f>
        <v>350218700168747</v>
      </c>
    </row>
    <row r="196" spans="3:17" x14ac:dyDescent="0.3">
      <c r="C196" s="2" t="s">
        <v>503</v>
      </c>
      <c r="D196" s="2">
        <v>2017</v>
      </c>
      <c r="E196" s="2" t="s">
        <v>504</v>
      </c>
      <c r="F196" s="2" t="s">
        <v>120</v>
      </c>
      <c r="G196" s="2" t="s">
        <v>19</v>
      </c>
      <c r="H196" s="9" t="s">
        <v>121</v>
      </c>
      <c r="I196" s="9" t="s">
        <v>122</v>
      </c>
      <c r="J196" s="2" t="s">
        <v>34</v>
      </c>
      <c r="K196" s="2" t="s">
        <v>23</v>
      </c>
      <c r="L196" s="2" t="s">
        <v>121</v>
      </c>
      <c r="M196" s="2" t="s">
        <v>123</v>
      </c>
      <c r="N196" s="2" t="s">
        <v>124</v>
      </c>
      <c r="O196">
        <v>127</v>
      </c>
      <c r="P196" t="s">
        <v>125</v>
      </c>
      <c r="Q196" t="e">
        <f>_xlfn.XLOOKUP(C:C,'[1]ErberthPereira-targetlist(20260'!$D:$D,'[1]ErberthPereira-targetlist(20260'!$C:$C)</f>
        <v>#N/A</v>
      </c>
    </row>
    <row r="197" spans="3:17" x14ac:dyDescent="0.3">
      <c r="C197" s="2" t="s">
        <v>505</v>
      </c>
      <c r="D197" s="2">
        <v>2017</v>
      </c>
      <c r="E197" s="2" t="s">
        <v>504</v>
      </c>
      <c r="F197" s="2" t="s">
        <v>120</v>
      </c>
      <c r="G197" s="2" t="s">
        <v>19</v>
      </c>
      <c r="H197" s="9" t="s">
        <v>121</v>
      </c>
      <c r="I197" s="9" t="s">
        <v>122</v>
      </c>
      <c r="J197" s="2" t="s">
        <v>34</v>
      </c>
      <c r="K197" s="2" t="s">
        <v>23</v>
      </c>
      <c r="L197" s="2" t="s">
        <v>121</v>
      </c>
      <c r="M197" s="2" t="s">
        <v>123</v>
      </c>
      <c r="N197" s="2" t="s">
        <v>124</v>
      </c>
      <c r="O197" s="10">
        <v>169</v>
      </c>
      <c r="P197" t="s">
        <v>506</v>
      </c>
      <c r="Q197" t="e">
        <f>_xlfn.XLOOKUP(C:C,'[1]ErberthPereira-targetlist(20260'!$D:$D,'[1]ErberthPereira-targetlist(20260'!$C:$C)</f>
        <v>#N/A</v>
      </c>
    </row>
    <row r="198" spans="3:17" x14ac:dyDescent="0.3">
      <c r="C198" s="2" t="s">
        <v>507</v>
      </c>
      <c r="D198" s="2">
        <v>2017</v>
      </c>
      <c r="E198" s="2" t="s">
        <v>127</v>
      </c>
      <c r="F198" s="2" t="s">
        <v>128</v>
      </c>
      <c r="G198" s="2" t="s">
        <v>19</v>
      </c>
      <c r="H198" s="9" t="s">
        <v>508</v>
      </c>
      <c r="I198" s="9" t="s">
        <v>500</v>
      </c>
      <c r="J198" s="2" t="s">
        <v>22</v>
      </c>
      <c r="K198" s="2" t="s">
        <v>23</v>
      </c>
      <c r="L198" s="2" t="s">
        <v>61</v>
      </c>
      <c r="M198" s="2" t="s">
        <v>74</v>
      </c>
      <c r="N198" s="2" t="s">
        <v>200</v>
      </c>
      <c r="O198">
        <v>127</v>
      </c>
      <c r="P198" t="s">
        <v>75</v>
      </c>
      <c r="Q198" t="e">
        <f>_xlfn.XLOOKUP(C:C,'[1]ErberthPereira-targetlist(20260'!$D:$D,'[1]ErberthPereira-targetlist(20260'!$C:$C)</f>
        <v>#N/A</v>
      </c>
    </row>
    <row r="199" spans="3:17" x14ac:dyDescent="0.3">
      <c r="C199" s="2" t="s">
        <v>509</v>
      </c>
      <c r="D199" s="2">
        <v>2023</v>
      </c>
      <c r="E199" s="2" t="s">
        <v>229</v>
      </c>
      <c r="F199" s="2" t="s">
        <v>230</v>
      </c>
      <c r="G199" s="2" t="s">
        <v>231</v>
      </c>
      <c r="H199" s="9" t="s">
        <v>510</v>
      </c>
      <c r="I199" s="9" t="s">
        <v>263</v>
      </c>
      <c r="J199" s="2" t="s">
        <v>40</v>
      </c>
      <c r="K199" s="2" t="s">
        <v>23</v>
      </c>
      <c r="L199" s="2" t="s">
        <v>61</v>
      </c>
      <c r="M199" s="2" t="s">
        <v>62</v>
      </c>
      <c r="N199" s="2" t="s">
        <v>314</v>
      </c>
      <c r="O199" s="10">
        <v>169</v>
      </c>
      <c r="P199" t="s">
        <v>409</v>
      </c>
      <c r="Q199" t="str">
        <f>_xlfn.XLOOKUP(C:C,'[1]ErberthPereira-targetlist(20260'!$D:$D,'[1]ErberthPereira-targetlist(20260'!$C:$C)</f>
        <v>350218700294063</v>
      </c>
    </row>
    <row r="200" spans="3:17" x14ac:dyDescent="0.3">
      <c r="C200" s="2" t="s">
        <v>511</v>
      </c>
      <c r="D200" s="2">
        <v>2017</v>
      </c>
      <c r="E200" s="2" t="s">
        <v>127</v>
      </c>
      <c r="F200" s="2" t="s">
        <v>128</v>
      </c>
      <c r="G200" s="2" t="s">
        <v>19</v>
      </c>
      <c r="H200" s="9" t="s">
        <v>33</v>
      </c>
      <c r="I200" s="9" t="s">
        <v>196</v>
      </c>
      <c r="J200" s="2" t="s">
        <v>40</v>
      </c>
      <c r="K200" s="2" t="s">
        <v>33</v>
      </c>
      <c r="L200" s="2" t="s">
        <v>61</v>
      </c>
      <c r="M200" s="2" t="s">
        <v>62</v>
      </c>
      <c r="N200" s="2" t="s">
        <v>152</v>
      </c>
      <c r="O200" s="10">
        <v>169</v>
      </c>
      <c r="P200" t="s">
        <v>64</v>
      </c>
      <c r="Q200" t="str">
        <f>_xlfn.XLOOKUP(C:C,'[1]ErberthPereira-targetlist(20260'!$D:$D,'[1]ErberthPereira-targetlist(20260'!$C:$C)</f>
        <v>350218700215233</v>
      </c>
    </row>
    <row r="201" spans="3:17" x14ac:dyDescent="0.3">
      <c r="C201" s="2" t="s">
        <v>512</v>
      </c>
      <c r="D201" s="2">
        <v>2024</v>
      </c>
      <c r="E201" s="2" t="s">
        <v>133</v>
      </c>
      <c r="F201" s="2" t="s">
        <v>72</v>
      </c>
      <c r="G201" s="2" t="s">
        <v>19</v>
      </c>
      <c r="H201" s="9" t="s">
        <v>134</v>
      </c>
      <c r="I201" s="9" t="s">
        <v>149</v>
      </c>
      <c r="J201" s="2" t="s">
        <v>114</v>
      </c>
      <c r="K201" s="2" t="s">
        <v>51</v>
      </c>
      <c r="L201" s="2" t="s">
        <v>150</v>
      </c>
      <c r="M201" s="2" t="s">
        <v>151</v>
      </c>
      <c r="N201" s="2" t="s">
        <v>107</v>
      </c>
      <c r="O201" s="10">
        <v>170</v>
      </c>
      <c r="P201" t="s">
        <v>447</v>
      </c>
      <c r="Q201" t="str">
        <f>_xlfn.XLOOKUP(C:C,'[1]ErberthPereira-targetlist(20260'!$D:$D,'[1]ErberthPereira-targetlist(20260'!$C:$C)</f>
        <v>350218700270006</v>
      </c>
    </row>
    <row r="202" spans="3:17" x14ac:dyDescent="0.3">
      <c r="C202" s="2" t="s">
        <v>513</v>
      </c>
      <c r="D202" s="2">
        <v>2022</v>
      </c>
      <c r="E202" s="2" t="s">
        <v>175</v>
      </c>
      <c r="F202" s="2" t="s">
        <v>72</v>
      </c>
      <c r="G202" s="2" t="s">
        <v>19</v>
      </c>
      <c r="H202" s="9" t="s">
        <v>59</v>
      </c>
      <c r="I202" s="9" t="s">
        <v>514</v>
      </c>
      <c r="J202" s="2" t="s">
        <v>80</v>
      </c>
      <c r="K202" s="2" t="s">
        <v>23</v>
      </c>
      <c r="L202" s="2" t="s">
        <v>61</v>
      </c>
      <c r="M202" s="2" t="s">
        <v>62</v>
      </c>
      <c r="N202" s="2" t="s">
        <v>63</v>
      </c>
      <c r="O202" s="10">
        <v>169</v>
      </c>
      <c r="P202" t="s">
        <v>64</v>
      </c>
      <c r="Q202" t="str">
        <f>_xlfn.XLOOKUP(C:C,'[1]ErberthPereira-targetlist(20260'!$D:$D,'[1]ErberthPereira-targetlist(20260'!$C:$C)</f>
        <v>350218700197423</v>
      </c>
    </row>
    <row r="203" spans="3:17" x14ac:dyDescent="0.3">
      <c r="C203" s="2" t="s">
        <v>515</v>
      </c>
      <c r="D203" s="2">
        <v>2018</v>
      </c>
      <c r="E203" s="2" t="s">
        <v>198</v>
      </c>
      <c r="F203" s="2" t="s">
        <v>128</v>
      </c>
      <c r="G203" s="2" t="s">
        <v>19</v>
      </c>
      <c r="H203" s="9" t="s">
        <v>33</v>
      </c>
      <c r="I203" s="9" t="s">
        <v>21</v>
      </c>
      <c r="J203" s="2" t="s">
        <v>22</v>
      </c>
      <c r="K203" s="2" t="s">
        <v>33</v>
      </c>
      <c r="L203" s="2" t="s">
        <v>61</v>
      </c>
      <c r="M203" s="2" t="s">
        <v>74</v>
      </c>
      <c r="N203" s="2" t="s">
        <v>152</v>
      </c>
      <c r="O203">
        <v>127</v>
      </c>
      <c r="P203" t="s">
        <v>75</v>
      </c>
      <c r="Q203" t="str">
        <f>_xlfn.XLOOKUP(C:C,'[1]ErberthPereira-targetlist(20260'!$D:$D,'[1]ErberthPereira-targetlist(20260'!$C:$C)</f>
        <v>350218700113693</v>
      </c>
    </row>
    <row r="204" spans="3:17" x14ac:dyDescent="0.3">
      <c r="C204" s="2" t="s">
        <v>516</v>
      </c>
      <c r="D204" s="2">
        <v>2024</v>
      </c>
      <c r="E204" s="2" t="s">
        <v>292</v>
      </c>
      <c r="F204" s="2" t="s">
        <v>293</v>
      </c>
      <c r="G204" s="2" t="s">
        <v>19</v>
      </c>
      <c r="H204" s="9" t="s">
        <v>296</v>
      </c>
      <c r="I204" s="9" t="s">
        <v>149</v>
      </c>
      <c r="J204" s="2" t="s">
        <v>114</v>
      </c>
      <c r="K204" s="2" t="s">
        <v>23</v>
      </c>
      <c r="L204" s="2" t="s">
        <v>150</v>
      </c>
      <c r="M204" s="2" t="s">
        <v>151</v>
      </c>
      <c r="N204" s="2" t="s">
        <v>298</v>
      </c>
      <c r="O204" s="10">
        <v>170</v>
      </c>
      <c r="P204" t="s">
        <v>153</v>
      </c>
      <c r="Q204" t="str">
        <f>_xlfn.XLOOKUP(C:C,'[1]ErberthPereira-targetlist(20260'!$D:$D,'[1]ErberthPereira-targetlist(20260'!$C:$C)</f>
        <v>350218700183811</v>
      </c>
    </row>
    <row r="205" spans="3:17" x14ac:dyDescent="0.3">
      <c r="C205" s="2" t="s">
        <v>517</v>
      </c>
      <c r="D205" s="2">
        <v>2023</v>
      </c>
      <c r="E205" s="2" t="s">
        <v>164</v>
      </c>
      <c r="F205" s="2" t="s">
        <v>159</v>
      </c>
      <c r="G205" s="2" t="s">
        <v>19</v>
      </c>
      <c r="H205" s="9" t="s">
        <v>134</v>
      </c>
      <c r="I205" s="9" t="s">
        <v>518</v>
      </c>
      <c r="J205" s="2" t="s">
        <v>114</v>
      </c>
      <c r="K205" s="2" t="s">
        <v>23</v>
      </c>
      <c r="L205" s="2" t="s">
        <v>150</v>
      </c>
      <c r="M205" s="2" t="s">
        <v>151</v>
      </c>
      <c r="N205" s="2" t="s">
        <v>63</v>
      </c>
      <c r="O205" s="10">
        <v>170</v>
      </c>
      <c r="P205" t="s">
        <v>447</v>
      </c>
      <c r="Q205" t="str">
        <f>_xlfn.XLOOKUP(C:C,'[1]ErberthPereira-targetlist(20260'!$D:$D,'[1]ErberthPereira-targetlist(20260'!$C:$C)</f>
        <v>350218700121886</v>
      </c>
    </row>
    <row r="206" spans="3:17" x14ac:dyDescent="0.3">
      <c r="C206" s="2" t="s">
        <v>519</v>
      </c>
      <c r="D206" s="2">
        <v>2017</v>
      </c>
      <c r="E206" s="2" t="s">
        <v>127</v>
      </c>
      <c r="F206" s="2" t="s">
        <v>128</v>
      </c>
      <c r="G206" s="2" t="s">
        <v>19</v>
      </c>
      <c r="H206" s="9" t="s">
        <v>520</v>
      </c>
      <c r="I206" s="9" t="s">
        <v>186</v>
      </c>
      <c r="J206" s="2" t="s">
        <v>139</v>
      </c>
      <c r="K206" s="2" t="s">
        <v>23</v>
      </c>
      <c r="L206" s="2" t="s">
        <v>61</v>
      </c>
      <c r="M206" s="2" t="s">
        <v>74</v>
      </c>
      <c r="N206" s="2" t="s">
        <v>131</v>
      </c>
      <c r="O206">
        <v>127</v>
      </c>
      <c r="P206" t="s">
        <v>75</v>
      </c>
      <c r="Q206" t="str">
        <f>_xlfn.XLOOKUP(C:C,'[1]ErberthPereira-targetlist(20260'!$D:$D,'[1]ErberthPereira-targetlist(20260'!$C:$C)</f>
        <v>350218700011442</v>
      </c>
    </row>
    <row r="207" spans="3:17" x14ac:dyDescent="0.3">
      <c r="C207" s="2" t="s">
        <v>521</v>
      </c>
      <c r="D207" s="2">
        <v>2017</v>
      </c>
      <c r="E207" s="2" t="s">
        <v>522</v>
      </c>
      <c r="F207" s="2" t="s">
        <v>120</v>
      </c>
      <c r="G207" s="2" t="s">
        <v>19</v>
      </c>
      <c r="H207" s="9" t="s">
        <v>121</v>
      </c>
      <c r="I207" s="9" t="s">
        <v>122</v>
      </c>
      <c r="J207" s="2" t="s">
        <v>34</v>
      </c>
      <c r="K207" s="2" t="s">
        <v>23</v>
      </c>
      <c r="L207" s="2" t="s">
        <v>121</v>
      </c>
      <c r="M207" s="2" t="s">
        <v>123</v>
      </c>
      <c r="N207" s="2" t="s">
        <v>124</v>
      </c>
      <c r="O207" s="10">
        <v>169</v>
      </c>
      <c r="P207" t="s">
        <v>506</v>
      </c>
      <c r="Q207" t="str">
        <f>_xlfn.XLOOKUP(C:C,'[1]ErberthPereira-targetlist(20260'!$D:$D,'[1]ErberthPereira-targetlist(20260'!$C:$C)</f>
        <v>350218700001344</v>
      </c>
    </row>
    <row r="208" spans="3:17" x14ac:dyDescent="0.3">
      <c r="C208" s="2" t="s">
        <v>523</v>
      </c>
      <c r="D208" s="2">
        <v>2017</v>
      </c>
      <c r="E208" s="2" t="s">
        <v>127</v>
      </c>
      <c r="F208" s="2" t="s">
        <v>128</v>
      </c>
      <c r="G208" s="2" t="s">
        <v>19</v>
      </c>
      <c r="H208" s="9" t="s">
        <v>524</v>
      </c>
      <c r="I208" s="9" t="s">
        <v>500</v>
      </c>
      <c r="J208" s="2" t="s">
        <v>22</v>
      </c>
      <c r="K208" s="2" t="s">
        <v>23</v>
      </c>
      <c r="L208" s="2" t="s">
        <v>61</v>
      </c>
      <c r="M208" s="2" t="s">
        <v>74</v>
      </c>
      <c r="N208" s="2" t="s">
        <v>200</v>
      </c>
      <c r="O208">
        <v>127</v>
      </c>
      <c r="P208" t="s">
        <v>75</v>
      </c>
      <c r="Q208" t="e">
        <f>_xlfn.XLOOKUP(C:C,'[1]ErberthPereira-targetlist(20260'!$D:$D,'[1]ErberthPereira-targetlist(20260'!$C:$C)</f>
        <v>#N/A</v>
      </c>
    </row>
    <row r="209" spans="3:17" x14ac:dyDescent="0.3">
      <c r="C209" s="2" t="s">
        <v>525</v>
      </c>
      <c r="D209" s="2">
        <v>2024</v>
      </c>
      <c r="E209" s="2" t="s">
        <v>133</v>
      </c>
      <c r="F209" s="2" t="s">
        <v>72</v>
      </c>
      <c r="G209" s="2" t="s">
        <v>19</v>
      </c>
      <c r="H209" s="9" t="s">
        <v>134</v>
      </c>
      <c r="I209" s="9" t="s">
        <v>130</v>
      </c>
      <c r="J209" s="2" t="s">
        <v>80</v>
      </c>
      <c r="K209" s="2" t="s">
        <v>51</v>
      </c>
      <c r="L209" s="2" t="s">
        <v>61</v>
      </c>
      <c r="M209" s="2" t="s">
        <v>62</v>
      </c>
      <c r="N209" s="2" t="s">
        <v>107</v>
      </c>
      <c r="O209" s="10">
        <v>169</v>
      </c>
      <c r="P209" t="s">
        <v>108</v>
      </c>
      <c r="Q209" t="str">
        <f>_xlfn.XLOOKUP(C:C,'[1]ErberthPereira-targetlist(20260'!$D:$D,'[1]ErberthPereira-targetlist(20260'!$C:$C)</f>
        <v>350218700192580</v>
      </c>
    </row>
    <row r="210" spans="3:17" x14ac:dyDescent="0.3">
      <c r="C210" s="2" t="s">
        <v>526</v>
      </c>
      <c r="D210" s="2">
        <v>2017</v>
      </c>
      <c r="E210" s="2" t="s">
        <v>127</v>
      </c>
      <c r="F210" s="2" t="s">
        <v>128</v>
      </c>
      <c r="G210" s="2" t="s">
        <v>19</v>
      </c>
      <c r="H210" s="9" t="s">
        <v>527</v>
      </c>
      <c r="I210" s="9" t="s">
        <v>186</v>
      </c>
      <c r="J210" s="2" t="s">
        <v>139</v>
      </c>
      <c r="K210" s="2" t="s">
        <v>23</v>
      </c>
      <c r="L210" s="2" t="s">
        <v>61</v>
      </c>
      <c r="M210" s="2" t="s">
        <v>74</v>
      </c>
      <c r="N210" s="2" t="s">
        <v>131</v>
      </c>
      <c r="O210">
        <v>127</v>
      </c>
      <c r="P210" t="s">
        <v>75</v>
      </c>
      <c r="Q210" t="str">
        <f>_xlfn.XLOOKUP(C:C,'[1]ErberthPereira-targetlist(20260'!$D:$D,'[1]ErberthPereira-targetlist(20260'!$C:$C)</f>
        <v>350218700117173</v>
      </c>
    </row>
    <row r="211" spans="3:17" x14ac:dyDescent="0.3">
      <c r="C211" s="2" t="s">
        <v>528</v>
      </c>
      <c r="D211" s="2">
        <v>2023</v>
      </c>
      <c r="E211" s="2" t="s">
        <v>292</v>
      </c>
      <c r="F211" s="2" t="s">
        <v>293</v>
      </c>
      <c r="G211" s="2" t="s">
        <v>19</v>
      </c>
      <c r="H211" s="9" t="s">
        <v>296</v>
      </c>
      <c r="I211" s="9" t="s">
        <v>529</v>
      </c>
      <c r="J211" s="2" t="s">
        <v>80</v>
      </c>
      <c r="K211" s="2" t="s">
        <v>23</v>
      </c>
      <c r="L211" s="2" t="s">
        <v>61</v>
      </c>
      <c r="M211" s="2" t="s">
        <v>62</v>
      </c>
      <c r="N211" s="2" t="s">
        <v>298</v>
      </c>
      <c r="O211" s="10">
        <v>169</v>
      </c>
      <c r="P211" t="s">
        <v>64</v>
      </c>
      <c r="Q211" t="str">
        <f>_xlfn.XLOOKUP(C:C,'[1]ErberthPereira-targetlist(20260'!$D:$D,'[1]ErberthPereira-targetlist(20260'!$C:$C)</f>
        <v>350218700125887</v>
      </c>
    </row>
    <row r="212" spans="3:17" x14ac:dyDescent="0.3">
      <c r="C212" s="2" t="s">
        <v>530</v>
      </c>
      <c r="D212" s="2">
        <v>2023</v>
      </c>
      <c r="E212" s="2" t="s">
        <v>292</v>
      </c>
      <c r="F212" s="2" t="s">
        <v>293</v>
      </c>
      <c r="G212" s="2" t="s">
        <v>19</v>
      </c>
      <c r="H212" s="9" t="s">
        <v>296</v>
      </c>
      <c r="I212" s="9" t="s">
        <v>531</v>
      </c>
      <c r="J212" s="2" t="s">
        <v>80</v>
      </c>
      <c r="K212" s="2" t="s">
        <v>23</v>
      </c>
      <c r="L212" s="2" t="s">
        <v>61</v>
      </c>
      <c r="M212" s="2" t="s">
        <v>62</v>
      </c>
      <c r="N212" s="2" t="s">
        <v>298</v>
      </c>
      <c r="O212" s="10">
        <v>169</v>
      </c>
      <c r="P212" t="s">
        <v>64</v>
      </c>
      <c r="Q212" t="str">
        <f>_xlfn.XLOOKUP(C:C,'[1]ErberthPereira-targetlist(20260'!$D:$D,'[1]ErberthPereira-targetlist(20260'!$C:$C)</f>
        <v>350218700167293</v>
      </c>
    </row>
    <row r="213" spans="3:17" x14ac:dyDescent="0.3">
      <c r="C213" s="2" t="s">
        <v>532</v>
      </c>
      <c r="D213" s="2">
        <v>2017</v>
      </c>
      <c r="E213" s="2" t="s">
        <v>127</v>
      </c>
      <c r="F213" s="2" t="s">
        <v>128</v>
      </c>
      <c r="G213" s="2" t="s">
        <v>19</v>
      </c>
      <c r="H213" s="9" t="s">
        <v>533</v>
      </c>
      <c r="I213" s="9" t="s">
        <v>186</v>
      </c>
      <c r="J213" s="2" t="s">
        <v>139</v>
      </c>
      <c r="K213" s="2" t="s">
        <v>23</v>
      </c>
      <c r="L213" s="2" t="s">
        <v>61</v>
      </c>
      <c r="M213" s="2" t="s">
        <v>74</v>
      </c>
      <c r="N213" s="2" t="s">
        <v>131</v>
      </c>
      <c r="O213">
        <v>127</v>
      </c>
      <c r="P213" t="s">
        <v>75</v>
      </c>
      <c r="Q213" t="str">
        <f>_xlfn.XLOOKUP(C:C,'[1]ErberthPereira-targetlist(20260'!$D:$D,'[1]ErberthPereira-targetlist(20260'!$C:$C)</f>
        <v>350218700008406</v>
      </c>
    </row>
    <row r="214" spans="3:17" x14ac:dyDescent="0.3">
      <c r="C214" s="2" t="s">
        <v>534</v>
      </c>
      <c r="D214" s="2">
        <v>2025</v>
      </c>
      <c r="E214" s="2" t="s">
        <v>191</v>
      </c>
      <c r="F214" s="2" t="s">
        <v>159</v>
      </c>
      <c r="G214" s="2" t="s">
        <v>19</v>
      </c>
      <c r="H214" s="9" t="s">
        <v>535</v>
      </c>
      <c r="I214" s="9" t="s">
        <v>536</v>
      </c>
      <c r="J214" s="2" t="s">
        <v>80</v>
      </c>
      <c r="K214" s="2" t="s">
        <v>51</v>
      </c>
      <c r="L214" s="2" t="s">
        <v>51</v>
      </c>
      <c r="M214" s="2" t="s">
        <v>537</v>
      </c>
      <c r="N214" s="2" t="s">
        <v>107</v>
      </c>
      <c r="O214">
        <v>169</v>
      </c>
      <c r="P214" t="s">
        <v>108</v>
      </c>
      <c r="Q214" t="str">
        <f>_xlfn.XLOOKUP(C:C,'[1]ErberthPereira-targetlist(20260'!$D:$D,'[1]ErberthPereira-targetlist(20260'!$C:$C)</f>
        <v>350218700151453</v>
      </c>
    </row>
    <row r="215" spans="3:17" x14ac:dyDescent="0.3">
      <c r="C215" s="2" t="s">
        <v>538</v>
      </c>
      <c r="D215" s="2">
        <v>2024</v>
      </c>
      <c r="E215" s="2" t="s">
        <v>133</v>
      </c>
      <c r="F215" s="2" t="s">
        <v>72</v>
      </c>
      <c r="G215" s="2" t="s">
        <v>19</v>
      </c>
      <c r="H215" s="9" t="s">
        <v>134</v>
      </c>
      <c r="I215" s="9" t="s">
        <v>313</v>
      </c>
      <c r="J215" s="2" t="s">
        <v>34</v>
      </c>
      <c r="K215" s="2" t="s">
        <v>51</v>
      </c>
      <c r="L215" s="2" t="s">
        <v>61</v>
      </c>
      <c r="M215" s="2" t="s">
        <v>74</v>
      </c>
      <c r="N215" s="2" t="s">
        <v>107</v>
      </c>
      <c r="O215">
        <v>127</v>
      </c>
      <c r="P215" t="s">
        <v>136</v>
      </c>
      <c r="Q215" t="str">
        <f>_xlfn.XLOOKUP(C:C,'[1]ErberthPereira-targetlist(20260'!$D:$D,'[1]ErberthPereira-targetlist(20260'!$C:$C)</f>
        <v>350218700167400</v>
      </c>
    </row>
    <row r="216" spans="3:17" x14ac:dyDescent="0.3">
      <c r="C216" s="2" t="s">
        <v>539</v>
      </c>
      <c r="D216" s="2">
        <v>2018</v>
      </c>
      <c r="E216" s="2" t="s">
        <v>127</v>
      </c>
      <c r="F216" s="2" t="s">
        <v>128</v>
      </c>
      <c r="G216" s="2" t="s">
        <v>19</v>
      </c>
      <c r="H216" s="9" t="s">
        <v>540</v>
      </c>
      <c r="I216" s="9" t="s">
        <v>500</v>
      </c>
      <c r="J216" s="2" t="s">
        <v>22</v>
      </c>
      <c r="K216" s="2" t="s">
        <v>23</v>
      </c>
      <c r="L216" s="2" t="s">
        <v>61</v>
      </c>
      <c r="M216" s="2" t="s">
        <v>74</v>
      </c>
      <c r="N216" s="2" t="s">
        <v>200</v>
      </c>
      <c r="O216">
        <v>127</v>
      </c>
      <c r="P216" t="s">
        <v>75</v>
      </c>
      <c r="Q216" t="str">
        <f>_xlfn.XLOOKUP(C:C,'[1]ErberthPereira-targetlist(20260'!$D:$D,'[1]ErberthPereira-targetlist(20260'!$C:$C)</f>
        <v>350218700117447</v>
      </c>
    </row>
    <row r="217" spans="3:17" x14ac:dyDescent="0.3">
      <c r="C217" s="2" t="s">
        <v>541</v>
      </c>
      <c r="D217" s="2">
        <v>2023</v>
      </c>
      <c r="E217" s="2" t="s">
        <v>542</v>
      </c>
      <c r="F217" s="2" t="s">
        <v>128</v>
      </c>
      <c r="G217" s="2" t="s">
        <v>19</v>
      </c>
      <c r="H217" s="9" t="s">
        <v>543</v>
      </c>
      <c r="I217" s="9" t="s">
        <v>149</v>
      </c>
      <c r="J217" s="2" t="s">
        <v>114</v>
      </c>
      <c r="K217" s="2" t="s">
        <v>23</v>
      </c>
      <c r="L217" s="2" t="s">
        <v>150</v>
      </c>
      <c r="M217" s="2" t="s">
        <v>151</v>
      </c>
      <c r="N217" s="2" t="s">
        <v>156</v>
      </c>
      <c r="O217" s="10">
        <v>170</v>
      </c>
      <c r="P217" t="s">
        <v>153</v>
      </c>
      <c r="Q217" t="str">
        <f>_xlfn.XLOOKUP(C:C,'[1]ErberthPereira-targetlist(20260'!$D:$D,'[1]ErberthPereira-targetlist(20260'!$C:$C)</f>
        <v>350218700192101</v>
      </c>
    </row>
    <row r="218" spans="3:17" x14ac:dyDescent="0.3">
      <c r="C218" s="2" t="s">
        <v>544</v>
      </c>
      <c r="D218" s="2">
        <v>2024</v>
      </c>
      <c r="E218" s="2" t="s">
        <v>133</v>
      </c>
      <c r="F218" s="2" t="s">
        <v>72</v>
      </c>
      <c r="G218" s="2" t="s">
        <v>19</v>
      </c>
      <c r="H218" s="11" t="s">
        <v>239</v>
      </c>
      <c r="I218" s="11"/>
      <c r="J218" s="2" t="s">
        <v>80</v>
      </c>
      <c r="K218" s="2" t="s">
        <v>51</v>
      </c>
      <c r="L218" s="2" t="s">
        <v>61</v>
      </c>
      <c r="M218" s="2" t="s">
        <v>194</v>
      </c>
      <c r="N218" s="2" t="s">
        <v>107</v>
      </c>
      <c r="O218" s="10">
        <v>169</v>
      </c>
      <c r="P218" t="s">
        <v>108</v>
      </c>
      <c r="Q218" t="str">
        <f>_xlfn.XLOOKUP(C:C,'[1]ErberthPereira-targetlist(20260'!$D:$D,'[1]ErberthPereira-targetlist(20260'!$C:$C)</f>
        <v>350218700191988</v>
      </c>
    </row>
    <row r="219" spans="3:17" x14ac:dyDescent="0.3">
      <c r="C219" s="2" t="s">
        <v>545</v>
      </c>
      <c r="D219" s="2">
        <v>2023</v>
      </c>
      <c r="E219" s="2" t="s">
        <v>17</v>
      </c>
      <c r="F219" s="2" t="s">
        <v>18</v>
      </c>
      <c r="G219" s="2" t="s">
        <v>19</v>
      </c>
      <c r="H219" s="9" t="s">
        <v>59</v>
      </c>
      <c r="I219" s="9" t="s">
        <v>546</v>
      </c>
      <c r="J219" s="2" t="s">
        <v>114</v>
      </c>
      <c r="K219" s="2" t="s">
        <v>23</v>
      </c>
      <c r="L219" s="2" t="s">
        <v>150</v>
      </c>
      <c r="M219" s="2" t="s">
        <v>151</v>
      </c>
      <c r="N219" s="2" t="s">
        <v>356</v>
      </c>
      <c r="O219" s="10">
        <v>170</v>
      </c>
      <c r="P219" t="s">
        <v>153</v>
      </c>
      <c r="Q219" t="str">
        <f>_xlfn.XLOOKUP(C:C,'[1]ErberthPereira-targetlist(20260'!$D:$D,'[1]ErberthPereira-targetlist(20260'!$C:$C)</f>
        <v>350218700136512</v>
      </c>
    </row>
    <row r="220" spans="3:17" x14ac:dyDescent="0.3">
      <c r="C220" s="2" t="s">
        <v>547</v>
      </c>
      <c r="D220" s="2">
        <v>2024</v>
      </c>
      <c r="E220" s="2" t="s">
        <v>158</v>
      </c>
      <c r="F220" s="2" t="s">
        <v>159</v>
      </c>
      <c r="G220" s="2" t="s">
        <v>19</v>
      </c>
      <c r="H220" s="9" t="s">
        <v>548</v>
      </c>
      <c r="I220" s="9" t="s">
        <v>166</v>
      </c>
      <c r="J220" s="2" t="s">
        <v>80</v>
      </c>
      <c r="K220" s="2" t="s">
        <v>23</v>
      </c>
      <c r="L220" s="2" t="s">
        <v>24</v>
      </c>
      <c r="M220" s="2" t="s">
        <v>106</v>
      </c>
      <c r="N220" s="2" t="s">
        <v>161</v>
      </c>
      <c r="O220" s="10">
        <v>169</v>
      </c>
      <c r="P220" t="s">
        <v>167</v>
      </c>
      <c r="Q220" t="str">
        <f>_xlfn.XLOOKUP(C:C,'[1]ErberthPereira-targetlist(20260'!$D:$D,'[1]ErberthPereira-targetlist(20260'!$C:$C)</f>
        <v>350218700146198</v>
      </c>
    </row>
    <row r="221" spans="3:17" x14ac:dyDescent="0.3">
      <c r="C221" s="2" t="s">
        <v>549</v>
      </c>
      <c r="D221" s="2">
        <v>2024</v>
      </c>
      <c r="E221" s="2" t="s">
        <v>550</v>
      </c>
      <c r="F221" s="2" t="s">
        <v>128</v>
      </c>
      <c r="G221" s="2" t="s">
        <v>19</v>
      </c>
      <c r="H221" s="9" t="s">
        <v>121</v>
      </c>
      <c r="I221" s="9" t="s">
        <v>122</v>
      </c>
      <c r="J221" s="2" t="s">
        <v>34</v>
      </c>
      <c r="K221" s="2" t="s">
        <v>23</v>
      </c>
      <c r="L221" s="2" t="s">
        <v>121</v>
      </c>
      <c r="M221" s="2" t="s">
        <v>123</v>
      </c>
      <c r="N221" s="2" t="s">
        <v>124</v>
      </c>
      <c r="O221">
        <v>127</v>
      </c>
      <c r="P221" t="s">
        <v>125</v>
      </c>
      <c r="Q221" t="str">
        <f>_xlfn.XLOOKUP(C:C,'[1]ErberthPereira-targetlist(20260'!$D:$D,'[1]ErberthPereira-targetlist(20260'!$C:$C)</f>
        <v>350218700171196</v>
      </c>
    </row>
    <row r="222" spans="3:17" x14ac:dyDescent="0.3">
      <c r="C222" s="2" t="s">
        <v>551</v>
      </c>
      <c r="D222" s="2">
        <v>2022</v>
      </c>
      <c r="E222" s="2" t="s">
        <v>400</v>
      </c>
      <c r="F222" s="2" t="s">
        <v>230</v>
      </c>
      <c r="G222" s="2" t="s">
        <v>19</v>
      </c>
      <c r="H222" s="9" t="s">
        <v>33</v>
      </c>
      <c r="I222" s="9" t="s">
        <v>176</v>
      </c>
      <c r="J222" s="2" t="s">
        <v>80</v>
      </c>
      <c r="K222" s="2" t="s">
        <v>33</v>
      </c>
      <c r="L222" s="2" t="s">
        <v>61</v>
      </c>
      <c r="M222" s="2" t="s">
        <v>62</v>
      </c>
      <c r="N222" s="2" t="s">
        <v>406</v>
      </c>
      <c r="O222" s="10">
        <v>169</v>
      </c>
      <c r="P222" t="s">
        <v>409</v>
      </c>
      <c r="Q222" s="14">
        <v>350218700111440</v>
      </c>
    </row>
    <row r="223" spans="3:17" x14ac:dyDescent="0.3">
      <c r="C223" s="2" t="s">
        <v>552</v>
      </c>
      <c r="D223" s="2">
        <v>2024</v>
      </c>
      <c r="E223" s="2" t="s">
        <v>133</v>
      </c>
      <c r="F223" s="2" t="s">
        <v>72</v>
      </c>
      <c r="G223" s="2" t="s">
        <v>19</v>
      </c>
      <c r="H223" s="9" t="s">
        <v>134</v>
      </c>
      <c r="I223" s="9" t="s">
        <v>553</v>
      </c>
      <c r="J223" s="2" t="s">
        <v>22</v>
      </c>
      <c r="K223" s="2" t="s">
        <v>51</v>
      </c>
      <c r="L223" s="2" t="s">
        <v>61</v>
      </c>
      <c r="M223" s="2" t="s">
        <v>74</v>
      </c>
      <c r="N223" s="2" t="s">
        <v>63</v>
      </c>
      <c r="O223">
        <v>127</v>
      </c>
      <c r="P223" t="s">
        <v>75</v>
      </c>
      <c r="Q223" t="str">
        <f>_xlfn.XLOOKUP(C:C,'[1]ErberthPereira-targetlist(20260'!$D:$D,'[1]ErberthPereira-targetlist(20260'!$C:$C)</f>
        <v>350218700138120</v>
      </c>
    </row>
    <row r="224" spans="3:17" x14ac:dyDescent="0.3">
      <c r="C224" s="2" t="s">
        <v>554</v>
      </c>
      <c r="D224" s="2">
        <v>2024</v>
      </c>
      <c r="E224" s="2" t="s">
        <v>133</v>
      </c>
      <c r="F224" s="2" t="s">
        <v>72</v>
      </c>
      <c r="G224" s="2" t="s">
        <v>19</v>
      </c>
      <c r="H224" s="9" t="s">
        <v>555</v>
      </c>
      <c r="I224" s="9" t="s">
        <v>556</v>
      </c>
      <c r="J224" s="2" t="s">
        <v>34</v>
      </c>
      <c r="K224" s="2" t="s">
        <v>51</v>
      </c>
      <c r="L224" s="2" t="s">
        <v>61</v>
      </c>
      <c r="M224" s="2" t="s">
        <v>74</v>
      </c>
      <c r="N224" s="2" t="s">
        <v>107</v>
      </c>
      <c r="O224">
        <v>127</v>
      </c>
      <c r="P224" t="s">
        <v>136</v>
      </c>
      <c r="Q224" t="str">
        <f>_xlfn.XLOOKUP(C:C,'[1]ErberthPereira-targetlist(20260'!$D:$D,'[1]ErberthPereira-targetlist(20260'!$C:$C)</f>
        <v>350218700171303</v>
      </c>
    </row>
    <row r="225" spans="3:17" x14ac:dyDescent="0.3">
      <c r="C225" s="2" t="s">
        <v>557</v>
      </c>
      <c r="D225" s="2">
        <v>2024</v>
      </c>
      <c r="E225" s="2" t="s">
        <v>164</v>
      </c>
      <c r="F225" s="2" t="s">
        <v>159</v>
      </c>
      <c r="G225" s="2" t="s">
        <v>19</v>
      </c>
      <c r="H225" s="9" t="s">
        <v>558</v>
      </c>
      <c r="I225" s="9" t="s">
        <v>30</v>
      </c>
      <c r="J225" s="2" t="s">
        <v>22</v>
      </c>
      <c r="K225" s="2" t="s">
        <v>23</v>
      </c>
      <c r="L225" s="2" t="s">
        <v>24</v>
      </c>
      <c r="M225" s="2" t="s">
        <v>31</v>
      </c>
      <c r="N225" s="2" t="s">
        <v>161</v>
      </c>
      <c r="O225">
        <v>127</v>
      </c>
      <c r="P225" t="s">
        <v>162</v>
      </c>
      <c r="Q225" t="str">
        <f>_xlfn.XLOOKUP(C:C,'[1]ErberthPereira-targetlist(20260'!$D:$D,'[1]ErberthPereira-targetlist(20260'!$C:$C)</f>
        <v>350218700006871</v>
      </c>
    </row>
    <row r="226" spans="3:17" x14ac:dyDescent="0.3">
      <c r="C226" s="2" t="s">
        <v>559</v>
      </c>
      <c r="D226" s="2">
        <v>2023</v>
      </c>
      <c r="E226" s="2" t="s">
        <v>164</v>
      </c>
      <c r="F226" s="2" t="s">
        <v>159</v>
      </c>
      <c r="G226" s="2" t="s">
        <v>19</v>
      </c>
      <c r="H226" s="9" t="s">
        <v>560</v>
      </c>
      <c r="I226" s="9" t="s">
        <v>142</v>
      </c>
      <c r="J226" s="2" t="s">
        <v>139</v>
      </c>
      <c r="K226" s="2" t="s">
        <v>23</v>
      </c>
      <c r="L226" s="2" t="s">
        <v>24</v>
      </c>
      <c r="M226" s="2" t="s">
        <v>31</v>
      </c>
      <c r="N226" s="2" t="s">
        <v>269</v>
      </c>
      <c r="O226">
        <v>127</v>
      </c>
      <c r="P226" t="s">
        <v>69</v>
      </c>
      <c r="Q226" t="str">
        <f>_xlfn.XLOOKUP(C:C,'[1]ErberthPereira-targetlist(20260'!$D:$D,'[1]ErberthPereira-targetlist(20260'!$C:$C)</f>
        <v>350218700247665</v>
      </c>
    </row>
    <row r="227" spans="3:17" x14ac:dyDescent="0.3">
      <c r="C227" s="2" t="s">
        <v>561</v>
      </c>
      <c r="D227" s="2">
        <v>2023</v>
      </c>
      <c r="E227" s="2" t="s">
        <v>164</v>
      </c>
      <c r="F227" s="2" t="s">
        <v>159</v>
      </c>
      <c r="G227" s="2" t="s">
        <v>19</v>
      </c>
      <c r="H227" s="9" t="s">
        <v>562</v>
      </c>
      <c r="I227" s="9" t="s">
        <v>166</v>
      </c>
      <c r="J227" s="2" t="s">
        <v>80</v>
      </c>
      <c r="K227" s="2" t="s">
        <v>23</v>
      </c>
      <c r="L227" s="2" t="s">
        <v>24</v>
      </c>
      <c r="M227" s="2" t="s">
        <v>106</v>
      </c>
      <c r="N227" s="2" t="s">
        <v>269</v>
      </c>
      <c r="O227" s="10">
        <v>169</v>
      </c>
      <c r="P227" t="s">
        <v>285</v>
      </c>
      <c r="Q227" t="str">
        <f>_xlfn.XLOOKUP(C:C,'[1]ErberthPereira-targetlist(20260'!$D:$D,'[1]ErberthPereira-targetlist(20260'!$C:$C)</f>
        <v>350218700257490</v>
      </c>
    </row>
    <row r="228" spans="3:17" x14ac:dyDescent="0.3">
      <c r="C228" s="2" t="s">
        <v>563</v>
      </c>
      <c r="D228" s="2">
        <v>2023</v>
      </c>
      <c r="E228" s="2" t="s">
        <v>164</v>
      </c>
      <c r="F228" s="2" t="s">
        <v>159</v>
      </c>
      <c r="G228" s="2" t="s">
        <v>19</v>
      </c>
      <c r="H228" s="9" t="s">
        <v>564</v>
      </c>
      <c r="I228" s="9" t="s">
        <v>47</v>
      </c>
      <c r="J228" s="2" t="s">
        <v>34</v>
      </c>
      <c r="K228" s="2" t="s">
        <v>23</v>
      </c>
      <c r="L228" s="2" t="s">
        <v>24</v>
      </c>
      <c r="M228" s="2" t="s">
        <v>31</v>
      </c>
      <c r="N228" s="2" t="s">
        <v>171</v>
      </c>
      <c r="O228">
        <v>127</v>
      </c>
      <c r="P228" t="s">
        <v>162</v>
      </c>
      <c r="Q228" t="str">
        <f>_xlfn.XLOOKUP(C:C,'[1]ErberthPereira-targetlist(20260'!$D:$D,'[1]ErberthPereira-targetlist(20260'!$C:$C)</f>
        <v>350218700256393</v>
      </c>
    </row>
    <row r="229" spans="3:17" x14ac:dyDescent="0.3">
      <c r="C229" s="2" t="s">
        <v>565</v>
      </c>
      <c r="D229" s="2">
        <v>2023</v>
      </c>
      <c r="E229" s="2" t="s">
        <v>566</v>
      </c>
      <c r="F229" s="2" t="s">
        <v>301</v>
      </c>
      <c r="G229" s="2" t="s">
        <v>19</v>
      </c>
      <c r="H229" s="9" t="s">
        <v>567</v>
      </c>
      <c r="I229" s="9" t="s">
        <v>302</v>
      </c>
      <c r="J229" s="2" t="s">
        <v>34</v>
      </c>
      <c r="K229" s="2" t="s">
        <v>23</v>
      </c>
      <c r="L229" s="2" t="s">
        <v>61</v>
      </c>
      <c r="M229" s="2" t="s">
        <v>74</v>
      </c>
      <c r="N229" s="2" t="s">
        <v>468</v>
      </c>
      <c r="O229">
        <v>127</v>
      </c>
      <c r="P229" t="s">
        <v>304</v>
      </c>
      <c r="Q229" t="str">
        <f>_xlfn.XLOOKUP(C:C,'[1]ErberthPereira-targetlist(20260'!$D:$D,'[1]ErberthPereira-targetlist(20260'!$C:$C)</f>
        <v>350218700167418</v>
      </c>
    </row>
    <row r="230" spans="3:17" x14ac:dyDescent="0.3">
      <c r="C230" s="2" t="s">
        <v>568</v>
      </c>
      <c r="D230" s="2">
        <v>2024</v>
      </c>
      <c r="E230" s="2" t="s">
        <v>164</v>
      </c>
      <c r="F230" s="2" t="s">
        <v>159</v>
      </c>
      <c r="G230" s="2" t="s">
        <v>19</v>
      </c>
      <c r="H230" s="9" t="s">
        <v>569</v>
      </c>
      <c r="I230" s="9" t="s">
        <v>170</v>
      </c>
      <c r="J230" s="2" t="s">
        <v>40</v>
      </c>
      <c r="K230" s="2" t="s">
        <v>23</v>
      </c>
      <c r="L230" s="2" t="s">
        <v>24</v>
      </c>
      <c r="M230" s="2" t="s">
        <v>106</v>
      </c>
      <c r="N230" s="2" t="s">
        <v>269</v>
      </c>
      <c r="O230" s="10">
        <v>169</v>
      </c>
      <c r="P230" t="s">
        <v>285</v>
      </c>
      <c r="Q230" t="str">
        <f>_xlfn.XLOOKUP(C:C,'[1]ErberthPereira-targetlist(20260'!$D:$D,'[1]ErberthPereira-targetlist(20260'!$C:$C)</f>
        <v>350218700231123</v>
      </c>
    </row>
    <row r="231" spans="3:17" x14ac:dyDescent="0.3">
      <c r="C231" s="2" t="s">
        <v>570</v>
      </c>
      <c r="D231" s="2">
        <v>2023</v>
      </c>
      <c r="E231" s="2" t="s">
        <v>542</v>
      </c>
      <c r="F231" s="2" t="s">
        <v>128</v>
      </c>
      <c r="G231" s="2" t="s">
        <v>19</v>
      </c>
      <c r="H231" s="9" t="s">
        <v>571</v>
      </c>
      <c r="I231" s="9" t="s">
        <v>199</v>
      </c>
      <c r="J231" s="2" t="s">
        <v>34</v>
      </c>
      <c r="K231" s="2" t="s">
        <v>23</v>
      </c>
      <c r="L231" s="2" t="s">
        <v>61</v>
      </c>
      <c r="M231" s="2" t="s">
        <v>74</v>
      </c>
      <c r="N231" s="2" t="s">
        <v>200</v>
      </c>
      <c r="O231">
        <v>127</v>
      </c>
      <c r="P231" t="s">
        <v>75</v>
      </c>
      <c r="Q231" t="e">
        <f>_xlfn.XLOOKUP(C:C,'[1]ErberthPereira-targetlist(20260'!$D:$D,'[1]ErberthPereira-targetlist(20260'!$C:$C)</f>
        <v>#N/A</v>
      </c>
    </row>
    <row r="232" spans="3:17" x14ac:dyDescent="0.3">
      <c r="C232" s="2" t="s">
        <v>572</v>
      </c>
      <c r="D232" s="2">
        <v>2017</v>
      </c>
      <c r="E232" s="2" t="s">
        <v>127</v>
      </c>
      <c r="F232" s="2" t="s">
        <v>128</v>
      </c>
      <c r="G232" s="2" t="s">
        <v>19</v>
      </c>
      <c r="H232" s="9" t="s">
        <v>573</v>
      </c>
      <c r="I232" s="9" t="s">
        <v>500</v>
      </c>
      <c r="J232" s="2" t="s">
        <v>22</v>
      </c>
      <c r="K232" s="2" t="s">
        <v>23</v>
      </c>
      <c r="L232" s="2" t="s">
        <v>61</v>
      </c>
      <c r="M232" s="2" t="s">
        <v>74</v>
      </c>
      <c r="N232" s="2" t="s">
        <v>200</v>
      </c>
      <c r="O232">
        <v>127</v>
      </c>
      <c r="P232" t="s">
        <v>75</v>
      </c>
      <c r="Q232" t="str">
        <f>_xlfn.XLOOKUP(C:C,'[1]ErberthPereira-targetlist(20260'!$D:$D,'[1]ErberthPereira-targetlist(20260'!$C:$C)</f>
        <v>350218700010857</v>
      </c>
    </row>
    <row r="233" spans="3:17" x14ac:dyDescent="0.3">
      <c r="C233" s="2" t="s">
        <v>574</v>
      </c>
      <c r="D233" s="2">
        <v>2025</v>
      </c>
      <c r="E233" s="2" t="s">
        <v>575</v>
      </c>
      <c r="F233" s="2" t="s">
        <v>18</v>
      </c>
      <c r="G233" s="2" t="s">
        <v>19</v>
      </c>
      <c r="H233" s="9" t="s">
        <v>576</v>
      </c>
      <c r="I233" s="9" t="s">
        <v>130</v>
      </c>
      <c r="J233" s="2" t="s">
        <v>80</v>
      </c>
      <c r="K233" s="2" t="s">
        <v>23</v>
      </c>
      <c r="L233" s="2" t="s">
        <v>61</v>
      </c>
      <c r="M233" s="2" t="s">
        <v>62</v>
      </c>
      <c r="N233" s="2" t="s">
        <v>356</v>
      </c>
      <c r="O233" s="10">
        <v>169</v>
      </c>
      <c r="P233" t="s">
        <v>64</v>
      </c>
      <c r="Q233" t="str">
        <f>_xlfn.XLOOKUP(C:C,'[1]ErberthPereira-targetlist(20260'!$D:$D,'[1]ErberthPereira-targetlist(20260'!$C:$C)</f>
        <v>350218700250370</v>
      </c>
    </row>
    <row r="234" spans="3:17" x14ac:dyDescent="0.3">
      <c r="C234" s="2" t="s">
        <v>577</v>
      </c>
      <c r="D234" s="2">
        <v>2025</v>
      </c>
      <c r="E234" s="2" t="s">
        <v>578</v>
      </c>
      <c r="F234" s="2" t="s">
        <v>18</v>
      </c>
      <c r="G234" s="2" t="s">
        <v>19</v>
      </c>
      <c r="H234" s="9" t="s">
        <v>579</v>
      </c>
      <c r="I234" s="9" t="s">
        <v>39</v>
      </c>
      <c r="J234" s="2" t="s">
        <v>34</v>
      </c>
      <c r="K234" s="2" t="s">
        <v>23</v>
      </c>
      <c r="L234" s="2" t="s">
        <v>41</v>
      </c>
      <c r="M234" s="2" t="s">
        <v>42</v>
      </c>
      <c r="N234" s="2" t="s">
        <v>55</v>
      </c>
      <c r="O234" s="10">
        <v>169</v>
      </c>
      <c r="P234" t="s">
        <v>44</v>
      </c>
      <c r="Q234" t="str">
        <f>_xlfn.XLOOKUP(C:C,'[1]ErberthPereira-targetlist(20260'!$D:$D,'[1]ErberthPereira-targetlist(20260'!$C:$C)</f>
        <v>350218700256591</v>
      </c>
    </row>
    <row r="235" spans="3:17" x14ac:dyDescent="0.3">
      <c r="C235" s="2" t="s">
        <v>580</v>
      </c>
      <c r="D235" s="2">
        <v>2025</v>
      </c>
      <c r="E235" s="2" t="s">
        <v>578</v>
      </c>
      <c r="F235" s="2" t="s">
        <v>18</v>
      </c>
      <c r="G235" s="2" t="s">
        <v>19</v>
      </c>
      <c r="H235" s="9" t="s">
        <v>581</v>
      </c>
      <c r="I235" s="9" t="s">
        <v>39</v>
      </c>
      <c r="J235" s="2" t="s">
        <v>34</v>
      </c>
      <c r="K235" s="2" t="s">
        <v>23</v>
      </c>
      <c r="L235" s="2" t="s">
        <v>41</v>
      </c>
      <c r="M235" s="2" t="s">
        <v>42</v>
      </c>
      <c r="N235" s="2" t="s">
        <v>55</v>
      </c>
      <c r="O235" s="10">
        <v>169</v>
      </c>
      <c r="P235" t="s">
        <v>44</v>
      </c>
      <c r="Q235" t="str">
        <f>_xlfn.XLOOKUP(C:C,'[1]ErberthPereira-targetlist(20260'!$D:$D,'[1]ErberthPereira-targetlist(20260'!$C:$C)</f>
        <v>350218700228848</v>
      </c>
    </row>
    <row r="236" spans="3:17" x14ac:dyDescent="0.3">
      <c r="C236" s="2" t="s">
        <v>582</v>
      </c>
      <c r="D236" s="2">
        <v>2025</v>
      </c>
      <c r="E236" s="2" t="s">
        <v>578</v>
      </c>
      <c r="F236" s="2" t="s">
        <v>18</v>
      </c>
      <c r="G236" s="2" t="s">
        <v>19</v>
      </c>
      <c r="H236" s="9" t="s">
        <v>583</v>
      </c>
      <c r="I236" s="9" t="s">
        <v>39</v>
      </c>
      <c r="J236" s="2" t="s">
        <v>22</v>
      </c>
      <c r="K236" s="2" t="s">
        <v>23</v>
      </c>
      <c r="L236" s="2" t="s">
        <v>41</v>
      </c>
      <c r="M236" s="2" t="s">
        <v>42</v>
      </c>
      <c r="N236" s="2" t="s">
        <v>55</v>
      </c>
      <c r="O236" s="10">
        <v>169</v>
      </c>
      <c r="P236" t="s">
        <v>44</v>
      </c>
      <c r="Q236" t="str">
        <f>_xlfn.XLOOKUP(C:C,'[1]ErberthPereira-targetlist(20260'!$D:$D,'[1]ErberthPereira-targetlist(20260'!$C:$C)</f>
        <v>350218700227964</v>
      </c>
    </row>
    <row r="237" spans="3:17" x14ac:dyDescent="0.3">
      <c r="C237" s="2" t="s">
        <v>584</v>
      </c>
      <c r="D237" s="2">
        <v>2025</v>
      </c>
      <c r="E237" s="2" t="s">
        <v>578</v>
      </c>
      <c r="F237" s="2" t="s">
        <v>18</v>
      </c>
      <c r="G237" s="2" t="s">
        <v>19</v>
      </c>
      <c r="H237" s="9" t="s">
        <v>585</v>
      </c>
      <c r="I237" s="9" t="s">
        <v>39</v>
      </c>
      <c r="J237" s="2" t="s">
        <v>22</v>
      </c>
      <c r="K237" s="2" t="s">
        <v>23</v>
      </c>
      <c r="L237" s="2" t="s">
        <v>41</v>
      </c>
      <c r="M237" s="2" t="s">
        <v>42</v>
      </c>
      <c r="N237" s="2" t="s">
        <v>55</v>
      </c>
      <c r="O237" s="10">
        <v>169</v>
      </c>
      <c r="P237" t="s">
        <v>44</v>
      </c>
      <c r="Q237" t="str">
        <f>_xlfn.XLOOKUP(C:C,'[1]ErberthPereira-targetlist(20260'!$D:$D,'[1]ErberthPereira-targetlist(20260'!$C:$C)</f>
        <v>350218700238060</v>
      </c>
    </row>
    <row r="238" spans="3:17" x14ac:dyDescent="0.3">
      <c r="C238" s="2" t="s">
        <v>586</v>
      </c>
      <c r="D238" s="2">
        <v>2025</v>
      </c>
      <c r="E238" s="2" t="s">
        <v>578</v>
      </c>
      <c r="F238" s="2" t="s">
        <v>18</v>
      </c>
      <c r="G238" s="2" t="s">
        <v>19</v>
      </c>
      <c r="H238" s="9" t="s">
        <v>587</v>
      </c>
      <c r="I238" s="9" t="s">
        <v>39</v>
      </c>
      <c r="J238" s="2" t="s">
        <v>139</v>
      </c>
      <c r="K238" s="2" t="s">
        <v>23</v>
      </c>
      <c r="L238" s="2" t="s">
        <v>41</v>
      </c>
      <c r="M238" s="2" t="s">
        <v>42</v>
      </c>
      <c r="N238" s="2" t="s">
        <v>55</v>
      </c>
      <c r="O238" s="10">
        <v>169</v>
      </c>
      <c r="P238" t="s">
        <v>44</v>
      </c>
      <c r="Q238" t="str">
        <f>_xlfn.XLOOKUP(C:C,'[1]ErberthPereira-targetlist(20260'!$D:$D,'[1]ErberthPereira-targetlist(20260'!$C:$C)</f>
        <v>350218700112836</v>
      </c>
    </row>
    <row r="239" spans="3:17" x14ac:dyDescent="0.3">
      <c r="C239" s="2" t="s">
        <v>588</v>
      </c>
      <c r="D239" s="2">
        <v>2025</v>
      </c>
      <c r="E239" s="2" t="s">
        <v>578</v>
      </c>
      <c r="F239" s="2" t="s">
        <v>18</v>
      </c>
      <c r="G239" s="2" t="s">
        <v>19</v>
      </c>
      <c r="H239" s="9" t="s">
        <v>589</v>
      </c>
      <c r="I239" s="9" t="s">
        <v>39</v>
      </c>
      <c r="J239" s="2" t="s">
        <v>139</v>
      </c>
      <c r="K239" s="2" t="s">
        <v>23</v>
      </c>
      <c r="L239" s="2" t="s">
        <v>41</v>
      </c>
      <c r="M239" s="2" t="s">
        <v>42</v>
      </c>
      <c r="N239" s="2" t="s">
        <v>55</v>
      </c>
      <c r="O239" s="10">
        <v>169</v>
      </c>
      <c r="P239" t="s">
        <v>44</v>
      </c>
      <c r="Q239" t="str">
        <f>_xlfn.XLOOKUP(C:C,'[1]ErberthPereira-targetlist(20260'!$D:$D,'[1]ErberthPereira-targetlist(20260'!$C:$C)</f>
        <v>350218700255783</v>
      </c>
    </row>
    <row r="240" spans="3:17" x14ac:dyDescent="0.3">
      <c r="C240" s="2" t="s">
        <v>590</v>
      </c>
      <c r="D240" s="2">
        <v>2025</v>
      </c>
      <c r="E240" s="2" t="s">
        <v>578</v>
      </c>
      <c r="F240" s="2" t="s">
        <v>18</v>
      </c>
      <c r="G240" s="2" t="s">
        <v>19</v>
      </c>
      <c r="H240" s="9" t="s">
        <v>591</v>
      </c>
      <c r="I240" s="9" t="s">
        <v>39</v>
      </c>
      <c r="J240" s="2" t="s">
        <v>80</v>
      </c>
      <c r="K240" s="2" t="s">
        <v>23</v>
      </c>
      <c r="L240" s="2" t="s">
        <v>41</v>
      </c>
      <c r="M240" s="2" t="s">
        <v>42</v>
      </c>
      <c r="N240" s="2" t="s">
        <v>55</v>
      </c>
      <c r="O240" s="10">
        <v>169</v>
      </c>
      <c r="P240" t="s">
        <v>44</v>
      </c>
      <c r="Q240" t="str">
        <f>_xlfn.XLOOKUP(C:C,'[1]ErberthPereira-targetlist(20260'!$D:$D,'[1]ErberthPereira-targetlist(20260'!$C:$C)</f>
        <v>350218700250701</v>
      </c>
    </row>
    <row r="241" spans="3:17" x14ac:dyDescent="0.3">
      <c r="C241" s="2" t="s">
        <v>592</v>
      </c>
      <c r="D241" s="2">
        <v>2025</v>
      </c>
      <c r="E241" s="2" t="s">
        <v>578</v>
      </c>
      <c r="F241" s="2" t="s">
        <v>18</v>
      </c>
      <c r="G241" s="2" t="s">
        <v>19</v>
      </c>
      <c r="H241" s="9" t="s">
        <v>593</v>
      </c>
      <c r="I241" s="9" t="s">
        <v>39</v>
      </c>
      <c r="J241" s="2" t="s">
        <v>80</v>
      </c>
      <c r="K241" s="2" t="s">
        <v>23</v>
      </c>
      <c r="L241" s="2" t="s">
        <v>41</v>
      </c>
      <c r="M241" s="2" t="s">
        <v>42</v>
      </c>
      <c r="N241" s="2" t="s">
        <v>55</v>
      </c>
      <c r="O241" s="10">
        <v>169</v>
      </c>
      <c r="P241" t="s">
        <v>44</v>
      </c>
      <c r="Q241" t="str">
        <f>_xlfn.XLOOKUP(C:C,'[1]ErberthPereira-targetlist(20260'!$D:$D,'[1]ErberthPereira-targetlist(20260'!$C:$C)</f>
        <v>350218700256633</v>
      </c>
    </row>
    <row r="242" spans="3:17" x14ac:dyDescent="0.3">
      <c r="C242" s="2" t="s">
        <v>594</v>
      </c>
      <c r="D242" s="2">
        <v>2025</v>
      </c>
      <c r="E242" s="2" t="s">
        <v>578</v>
      </c>
      <c r="F242" s="2" t="s">
        <v>18</v>
      </c>
      <c r="G242" s="2" t="s">
        <v>19</v>
      </c>
      <c r="H242" s="9" t="s">
        <v>595</v>
      </c>
      <c r="I242" s="9" t="s">
        <v>39</v>
      </c>
      <c r="J242" s="2" t="s">
        <v>40</v>
      </c>
      <c r="K242" s="2" t="s">
        <v>23</v>
      </c>
      <c r="L242" s="2" t="s">
        <v>41</v>
      </c>
      <c r="M242" s="2" t="s">
        <v>42</v>
      </c>
      <c r="N242" s="2" t="s">
        <v>55</v>
      </c>
      <c r="O242" s="10">
        <v>169</v>
      </c>
      <c r="P242" t="s">
        <v>44</v>
      </c>
      <c r="Q242" t="str">
        <f>_xlfn.XLOOKUP(C:C,'[1]ErberthPereira-targetlist(20260'!$D:$D,'[1]ErberthPereira-targetlist(20260'!$C:$C)</f>
        <v>350218700228541</v>
      </c>
    </row>
    <row r="243" spans="3:17" x14ac:dyDescent="0.3">
      <c r="C243" s="2" t="s">
        <v>596</v>
      </c>
      <c r="D243" s="2">
        <v>2025</v>
      </c>
      <c r="E243" s="2" t="s">
        <v>578</v>
      </c>
      <c r="F243" s="2" t="s">
        <v>18</v>
      </c>
      <c r="G243" s="2" t="s">
        <v>19</v>
      </c>
      <c r="H243" s="9" t="s">
        <v>597</v>
      </c>
      <c r="I243" s="9" t="s">
        <v>39</v>
      </c>
      <c r="J243" s="2" t="s">
        <v>40</v>
      </c>
      <c r="K243" s="2" t="s">
        <v>23</v>
      </c>
      <c r="L243" s="2" t="s">
        <v>41</v>
      </c>
      <c r="M243" s="2" t="s">
        <v>42</v>
      </c>
      <c r="N243" s="2" t="s">
        <v>55</v>
      </c>
      <c r="O243" s="10">
        <v>169</v>
      </c>
      <c r="P243" t="s">
        <v>44</v>
      </c>
      <c r="Q243" t="str">
        <f>_xlfn.XLOOKUP(C:C,'[1]ErberthPereira-targetlist(20260'!$D:$D,'[1]ErberthPereira-targetlist(20260'!$C:$C)</f>
        <v>350218700238839</v>
      </c>
    </row>
    <row r="244" spans="3:17" x14ac:dyDescent="0.3">
      <c r="C244" s="2" t="s">
        <v>598</v>
      </c>
      <c r="D244" s="2">
        <v>2017</v>
      </c>
      <c r="E244" s="2" t="s">
        <v>127</v>
      </c>
      <c r="F244" s="2" t="s">
        <v>301</v>
      </c>
      <c r="G244" s="2" t="s">
        <v>19</v>
      </c>
      <c r="H244" s="9" t="s">
        <v>599</v>
      </c>
      <c r="I244" s="9" t="s">
        <v>263</v>
      </c>
      <c r="J244" s="2" t="s">
        <v>80</v>
      </c>
      <c r="K244" s="2" t="s">
        <v>23</v>
      </c>
      <c r="L244" s="2" t="s">
        <v>61</v>
      </c>
      <c r="M244" s="2" t="s">
        <v>62</v>
      </c>
      <c r="N244" s="2" t="s">
        <v>314</v>
      </c>
      <c r="O244" s="10">
        <v>169</v>
      </c>
      <c r="P244" t="s">
        <v>409</v>
      </c>
      <c r="Q244" t="str">
        <f>_xlfn.XLOOKUP(C:C,'[1]ErberthPereira-targetlist(20260'!$D:$D,'[1]ErberthPereira-targetlist(20260'!$C:$C)</f>
        <v>350218700225240</v>
      </c>
    </row>
    <row r="245" spans="3:17" x14ac:dyDescent="0.3">
      <c r="C245" s="2" t="s">
        <v>600</v>
      </c>
      <c r="D245" s="2">
        <v>2025</v>
      </c>
      <c r="E245" s="2" t="s">
        <v>191</v>
      </c>
      <c r="F245" s="2" t="s">
        <v>159</v>
      </c>
      <c r="G245" s="2" t="s">
        <v>19</v>
      </c>
      <c r="H245" s="9" t="s">
        <v>601</v>
      </c>
      <c r="I245" s="9" t="s">
        <v>47</v>
      </c>
      <c r="J245" s="2" t="s">
        <v>34</v>
      </c>
      <c r="K245" s="2" t="s">
        <v>23</v>
      </c>
      <c r="L245" s="2" t="s">
        <v>24</v>
      </c>
      <c r="M245" s="2" t="s">
        <v>31</v>
      </c>
      <c r="N245" s="2" t="s">
        <v>269</v>
      </c>
      <c r="O245">
        <v>127</v>
      </c>
      <c r="P245" t="s">
        <v>69</v>
      </c>
      <c r="Q245" t="str">
        <f>_xlfn.XLOOKUP(C:C,'[1]ErberthPereira-targetlist(20260'!$D:$D,'[1]ErberthPereira-targetlist(20260'!$C:$C)</f>
        <v>350218700113834</v>
      </c>
    </row>
    <row r="246" spans="3:17" x14ac:dyDescent="0.3">
      <c r="C246" s="2" t="s">
        <v>602</v>
      </c>
      <c r="D246" s="2">
        <v>2025</v>
      </c>
      <c r="E246" s="2" t="s">
        <v>191</v>
      </c>
      <c r="F246" s="2" t="s">
        <v>159</v>
      </c>
      <c r="G246" s="2" t="s">
        <v>19</v>
      </c>
      <c r="H246" s="9" t="s">
        <v>603</v>
      </c>
      <c r="I246" s="9" t="s">
        <v>166</v>
      </c>
      <c r="J246" s="2" t="s">
        <v>80</v>
      </c>
      <c r="K246" s="2" t="s">
        <v>23</v>
      </c>
      <c r="L246" s="2" t="s">
        <v>24</v>
      </c>
      <c r="M246" s="2" t="s">
        <v>106</v>
      </c>
      <c r="N246" s="2" t="s">
        <v>171</v>
      </c>
      <c r="O246" s="10">
        <v>169</v>
      </c>
      <c r="P246" t="s">
        <v>167</v>
      </c>
      <c r="Q246" t="str">
        <f>_xlfn.XLOOKUP(C:C,'[1]ErberthPereira-targetlist(20260'!$D:$D,'[1]ErberthPereira-targetlist(20260'!$C:$C)</f>
        <v>350218700238854</v>
      </c>
    </row>
    <row r="247" spans="3:17" x14ac:dyDescent="0.3">
      <c r="C247" s="2" t="s">
        <v>604</v>
      </c>
      <c r="D247" s="2">
        <v>2024</v>
      </c>
      <c r="E247" s="2" t="s">
        <v>158</v>
      </c>
      <c r="F247" s="2" t="s">
        <v>159</v>
      </c>
      <c r="G247" s="2" t="s">
        <v>19</v>
      </c>
      <c r="H247" s="9" t="s">
        <v>605</v>
      </c>
      <c r="I247" s="9" t="s">
        <v>39</v>
      </c>
      <c r="J247" s="2" t="s">
        <v>34</v>
      </c>
      <c r="K247" s="2" t="s">
        <v>23</v>
      </c>
      <c r="L247" s="2" t="s">
        <v>41</v>
      </c>
      <c r="M247" s="2" t="s">
        <v>42</v>
      </c>
      <c r="N247" s="2" t="s">
        <v>606</v>
      </c>
      <c r="O247" s="10">
        <v>169</v>
      </c>
      <c r="P247" t="s">
        <v>44</v>
      </c>
      <c r="Q247" t="e">
        <f>_xlfn.XLOOKUP(C:C,'[1]ErberthPereira-targetlist(20260'!$D:$D,'[1]ErberthPereira-targetlist(20260'!$C:$C)</f>
        <v>#N/A</v>
      </c>
    </row>
    <row r="248" spans="3:17" x14ac:dyDescent="0.3">
      <c r="C248" s="2" t="s">
        <v>607</v>
      </c>
      <c r="D248" s="2">
        <v>2025</v>
      </c>
      <c r="E248" s="2" t="s">
        <v>191</v>
      </c>
      <c r="F248" s="2" t="s">
        <v>159</v>
      </c>
      <c r="G248" s="2" t="s">
        <v>19</v>
      </c>
      <c r="H248" s="9" t="s">
        <v>608</v>
      </c>
      <c r="I248" s="9" t="s">
        <v>166</v>
      </c>
      <c r="J248" s="2" t="s">
        <v>80</v>
      </c>
      <c r="K248" s="2" t="s">
        <v>23</v>
      </c>
      <c r="L248" s="2" t="s">
        <v>24</v>
      </c>
      <c r="M248" s="2" t="s">
        <v>106</v>
      </c>
      <c r="N248" s="2" t="s">
        <v>161</v>
      </c>
      <c r="O248" s="10">
        <v>169</v>
      </c>
      <c r="P248" t="s">
        <v>167</v>
      </c>
      <c r="Q248" t="str">
        <f>_xlfn.XLOOKUP(C:C,'[1]ErberthPereira-targetlist(20260'!$D:$D,'[1]ErberthPereira-targetlist(20260'!$C:$C)</f>
        <v>350218700143310</v>
      </c>
    </row>
    <row r="249" spans="3:17" x14ac:dyDescent="0.3">
      <c r="C249" s="2" t="s">
        <v>609</v>
      </c>
      <c r="D249" s="2">
        <v>2025</v>
      </c>
      <c r="E249" s="2" t="s">
        <v>610</v>
      </c>
      <c r="F249" s="2" t="s">
        <v>18</v>
      </c>
      <c r="G249" s="2" t="s">
        <v>19</v>
      </c>
      <c r="H249" s="9" t="s">
        <v>611</v>
      </c>
      <c r="I249" s="9" t="s">
        <v>39</v>
      </c>
      <c r="J249" s="2" t="s">
        <v>40</v>
      </c>
      <c r="K249" s="2" t="s">
        <v>23</v>
      </c>
      <c r="L249" s="2" t="s">
        <v>41</v>
      </c>
      <c r="M249" s="2" t="s">
        <v>42</v>
      </c>
      <c r="N249" s="2" t="s">
        <v>55</v>
      </c>
      <c r="O249" s="10">
        <v>169</v>
      </c>
      <c r="P249" t="s">
        <v>44</v>
      </c>
      <c r="Q249" t="str">
        <f>_xlfn.XLOOKUP(C:C,'[1]ErberthPereira-targetlist(20260'!$D:$D,'[1]ErberthPereira-targetlist(20260'!$C:$C)</f>
        <v>350218700185386</v>
      </c>
    </row>
    <row r="250" spans="3:17" x14ac:dyDescent="0.3">
      <c r="C250" s="2" t="s">
        <v>612</v>
      </c>
      <c r="D250" s="2">
        <v>2025</v>
      </c>
      <c r="E250" s="2" t="s">
        <v>610</v>
      </c>
      <c r="F250" s="2" t="s">
        <v>18</v>
      </c>
      <c r="G250" s="2" t="s">
        <v>19</v>
      </c>
      <c r="H250" s="9" t="s">
        <v>613</v>
      </c>
      <c r="I250" s="9" t="s">
        <v>47</v>
      </c>
      <c r="J250" s="2" t="s">
        <v>34</v>
      </c>
      <c r="K250" s="2" t="s">
        <v>23</v>
      </c>
      <c r="L250" s="2" t="s">
        <v>24</v>
      </c>
      <c r="M250" s="2" t="s">
        <v>31</v>
      </c>
      <c r="N250" s="2" t="s">
        <v>614</v>
      </c>
      <c r="O250">
        <v>127</v>
      </c>
      <c r="P250" t="s">
        <v>36</v>
      </c>
      <c r="Q250" t="str">
        <f>_xlfn.XLOOKUP(C:C,'[1]ErberthPereira-targetlist(20260'!$D:$D,'[1]ErberthPereira-targetlist(20260'!$C:$C)</f>
        <v>350218700114204</v>
      </c>
    </row>
    <row r="251" spans="3:17" x14ac:dyDescent="0.3">
      <c r="C251" s="2" t="s">
        <v>615</v>
      </c>
      <c r="D251" s="2">
        <v>2025</v>
      </c>
      <c r="E251" s="2" t="s">
        <v>610</v>
      </c>
      <c r="F251" s="2" t="s">
        <v>18</v>
      </c>
      <c r="G251" s="2" t="s">
        <v>19</v>
      </c>
      <c r="H251" s="9" t="s">
        <v>616</v>
      </c>
      <c r="I251" s="9" t="s">
        <v>142</v>
      </c>
      <c r="J251" s="2" t="s">
        <v>139</v>
      </c>
      <c r="K251" s="2" t="s">
        <v>23</v>
      </c>
      <c r="L251" s="2" t="s">
        <v>24</v>
      </c>
      <c r="M251" s="2" t="s">
        <v>31</v>
      </c>
      <c r="N251" s="2" t="s">
        <v>26</v>
      </c>
      <c r="O251">
        <v>127</v>
      </c>
      <c r="P251" t="s">
        <v>27</v>
      </c>
      <c r="Q251" t="str">
        <f>_xlfn.XLOOKUP(C:C,'[1]ErberthPereira-targetlist(20260'!$D:$D,'[1]ErberthPereira-targetlist(20260'!$C:$C)</f>
        <v>350218700234952</v>
      </c>
    </row>
    <row r="252" spans="3:17" x14ac:dyDescent="0.3">
      <c r="C252" s="2" t="s">
        <v>617</v>
      </c>
      <c r="D252" s="2">
        <v>2025</v>
      </c>
      <c r="E252" s="2" t="s">
        <v>610</v>
      </c>
      <c r="F252" s="2" t="s">
        <v>18</v>
      </c>
      <c r="G252" s="2" t="s">
        <v>19</v>
      </c>
      <c r="H252" s="9" t="s">
        <v>618</v>
      </c>
      <c r="I252" s="9" t="s">
        <v>30</v>
      </c>
      <c r="J252" s="2" t="s">
        <v>22</v>
      </c>
      <c r="K252" s="2" t="s">
        <v>23</v>
      </c>
      <c r="L252" s="2" t="s">
        <v>24</v>
      </c>
      <c r="M252" s="2" t="s">
        <v>31</v>
      </c>
      <c r="N252" s="2" t="s">
        <v>614</v>
      </c>
      <c r="O252">
        <v>127</v>
      </c>
      <c r="P252" t="s">
        <v>36</v>
      </c>
      <c r="Q252" t="str">
        <f>_xlfn.XLOOKUP(C:C,'[1]ErberthPereira-targetlist(20260'!$D:$D,'[1]ErberthPereira-targetlist(20260'!$C:$C)</f>
        <v>350218700236395</v>
      </c>
    </row>
    <row r="253" spans="3:17" x14ac:dyDescent="0.3">
      <c r="C253" s="2" t="s">
        <v>619</v>
      </c>
      <c r="D253" s="2">
        <v>2025</v>
      </c>
      <c r="E253" s="2" t="s">
        <v>610</v>
      </c>
      <c r="F253" s="2" t="s">
        <v>18</v>
      </c>
      <c r="G253" s="2" t="s">
        <v>19</v>
      </c>
      <c r="H253" s="9" t="s">
        <v>620</v>
      </c>
      <c r="I253" s="9" t="s">
        <v>39</v>
      </c>
      <c r="J253" s="2" t="s">
        <v>40</v>
      </c>
      <c r="K253" s="2" t="s">
        <v>23</v>
      </c>
      <c r="L253" s="2" t="s">
        <v>41</v>
      </c>
      <c r="M253" s="2" t="s">
        <v>42</v>
      </c>
      <c r="N253" s="2" t="s">
        <v>55</v>
      </c>
      <c r="O253" s="10">
        <v>169</v>
      </c>
      <c r="P253" t="s">
        <v>44</v>
      </c>
      <c r="Q253" t="str">
        <f>_xlfn.XLOOKUP(C:C,'[1]ErberthPereira-targetlist(20260'!$D:$D,'[1]ErberthPereira-targetlist(20260'!$C:$C)</f>
        <v>350218700148384</v>
      </c>
    </row>
    <row r="254" spans="3:17" x14ac:dyDescent="0.3">
      <c r="C254" s="2" t="s">
        <v>621</v>
      </c>
      <c r="D254" s="2">
        <v>2025</v>
      </c>
      <c r="E254" s="2" t="s">
        <v>610</v>
      </c>
      <c r="F254" s="2" t="s">
        <v>18</v>
      </c>
      <c r="G254" s="2" t="s">
        <v>19</v>
      </c>
      <c r="H254" s="9" t="s">
        <v>622</v>
      </c>
      <c r="I254" s="9" t="s">
        <v>166</v>
      </c>
      <c r="J254" s="2" t="s">
        <v>80</v>
      </c>
      <c r="K254" s="2" t="s">
        <v>23</v>
      </c>
      <c r="L254" s="2" t="s">
        <v>24</v>
      </c>
      <c r="M254" s="2" t="s">
        <v>106</v>
      </c>
      <c r="N254" s="2" t="s">
        <v>26</v>
      </c>
      <c r="O254" s="10">
        <v>169</v>
      </c>
      <c r="P254" t="s">
        <v>358</v>
      </c>
      <c r="Q254" t="str">
        <f>_xlfn.XLOOKUP(C:C,'[1]ErberthPereira-targetlist(20260'!$D:$D,'[1]ErberthPereira-targetlist(20260'!$C:$C)</f>
        <v>350218700280260</v>
      </c>
    </row>
    <row r="255" spans="3:17" x14ac:dyDescent="0.3">
      <c r="C255" s="2" t="s">
        <v>623</v>
      </c>
      <c r="D255" s="2">
        <v>2025</v>
      </c>
      <c r="E255" s="2" t="s">
        <v>610</v>
      </c>
      <c r="F255" s="2" t="s">
        <v>18</v>
      </c>
      <c r="G255" s="2" t="s">
        <v>19</v>
      </c>
      <c r="H255" s="9" t="s">
        <v>624</v>
      </c>
      <c r="I255" s="9" t="s">
        <v>166</v>
      </c>
      <c r="J255" s="2" t="s">
        <v>80</v>
      </c>
      <c r="K255" s="2" t="s">
        <v>23</v>
      </c>
      <c r="L255" s="2" t="s">
        <v>24</v>
      </c>
      <c r="M255" s="2" t="s">
        <v>106</v>
      </c>
      <c r="N255" s="2" t="s">
        <v>26</v>
      </c>
      <c r="O255" s="10">
        <v>169</v>
      </c>
      <c r="P255" t="s">
        <v>358</v>
      </c>
      <c r="Q255" t="str">
        <f>_xlfn.XLOOKUP(C:C,'[1]ErberthPereira-targetlist(20260'!$D:$D,'[1]ErberthPereira-targetlist(20260'!$C:$C)</f>
        <v>350218700108396</v>
      </c>
    </row>
    <row r="256" spans="3:17" x14ac:dyDescent="0.3">
      <c r="C256" s="2" t="s">
        <v>625</v>
      </c>
      <c r="D256" s="2">
        <v>2025</v>
      </c>
      <c r="E256" s="2" t="s">
        <v>610</v>
      </c>
      <c r="F256" s="2" t="s">
        <v>18</v>
      </c>
      <c r="G256" s="2" t="s">
        <v>19</v>
      </c>
      <c r="H256" s="9" t="s">
        <v>626</v>
      </c>
      <c r="I256" s="9" t="s">
        <v>170</v>
      </c>
      <c r="J256" s="2" t="s">
        <v>40</v>
      </c>
      <c r="K256" s="2" t="s">
        <v>23</v>
      </c>
      <c r="L256" s="2" t="s">
        <v>24</v>
      </c>
      <c r="M256" s="2" t="s">
        <v>106</v>
      </c>
      <c r="N256" s="2" t="s">
        <v>26</v>
      </c>
      <c r="O256" s="10">
        <v>169</v>
      </c>
      <c r="P256" t="s">
        <v>358</v>
      </c>
      <c r="Q256" t="str">
        <f>_xlfn.XLOOKUP(C:C,'[1]ErberthPereira-targetlist(20260'!$D:$D,'[1]ErberthPereira-targetlist(20260'!$C:$C)</f>
        <v>350218700202116</v>
      </c>
    </row>
    <row r="257" spans="3:17" x14ac:dyDescent="0.3">
      <c r="C257" s="2" t="s">
        <v>627</v>
      </c>
      <c r="D257" s="2">
        <v>2025</v>
      </c>
      <c r="E257" s="2" t="s">
        <v>610</v>
      </c>
      <c r="F257" s="2" t="s">
        <v>18</v>
      </c>
      <c r="G257" s="2" t="s">
        <v>19</v>
      </c>
      <c r="H257" s="9" t="s">
        <v>628</v>
      </c>
      <c r="I257" s="9" t="s">
        <v>39</v>
      </c>
      <c r="J257" s="2" t="s">
        <v>40</v>
      </c>
      <c r="K257" s="2" t="s">
        <v>23</v>
      </c>
      <c r="L257" s="2" t="s">
        <v>41</v>
      </c>
      <c r="M257" s="2" t="s">
        <v>42</v>
      </c>
      <c r="N257" s="2" t="s">
        <v>55</v>
      </c>
      <c r="O257" s="10">
        <v>169</v>
      </c>
      <c r="P257" t="s">
        <v>44</v>
      </c>
      <c r="Q257" t="str">
        <f>_xlfn.XLOOKUP(C:C,'[1]ErberthPereira-targetlist(20260'!$D:$D,'[1]ErberthPereira-targetlist(20260'!$C:$C)</f>
        <v>350218700114253</v>
      </c>
    </row>
    <row r="258" spans="3:17" x14ac:dyDescent="0.3">
      <c r="C258" s="2" t="s">
        <v>629</v>
      </c>
      <c r="D258" s="2">
        <v>2025</v>
      </c>
      <c r="E258" s="2" t="s">
        <v>610</v>
      </c>
      <c r="F258" s="2" t="s">
        <v>18</v>
      </c>
      <c r="G258" s="2" t="s">
        <v>19</v>
      </c>
      <c r="H258" s="9" t="s">
        <v>630</v>
      </c>
      <c r="I258" s="9" t="s">
        <v>142</v>
      </c>
      <c r="J258" s="2" t="s">
        <v>139</v>
      </c>
      <c r="K258" s="2" t="s">
        <v>23</v>
      </c>
      <c r="L258" s="2" t="s">
        <v>24</v>
      </c>
      <c r="M258" s="2" t="s">
        <v>31</v>
      </c>
      <c r="N258" s="2" t="s">
        <v>26</v>
      </c>
      <c r="O258">
        <v>127</v>
      </c>
      <c r="P258" t="s">
        <v>27</v>
      </c>
      <c r="Q258" t="str">
        <f>_xlfn.XLOOKUP(C:C,'[1]ErberthPereira-targetlist(20260'!$D:$D,'[1]ErberthPereira-targetlist(20260'!$C:$C)</f>
        <v>350218700146164</v>
      </c>
    </row>
    <row r="259" spans="3:17" x14ac:dyDescent="0.3">
      <c r="C259" s="2" t="s">
        <v>631</v>
      </c>
      <c r="D259" s="2">
        <v>2025</v>
      </c>
      <c r="E259" s="2" t="s">
        <v>610</v>
      </c>
      <c r="F259" s="2" t="s">
        <v>18</v>
      </c>
      <c r="G259" s="2" t="s">
        <v>19</v>
      </c>
      <c r="H259" s="9" t="s">
        <v>632</v>
      </c>
      <c r="I259" s="9" t="s">
        <v>39</v>
      </c>
      <c r="J259" s="2" t="s">
        <v>40</v>
      </c>
      <c r="K259" s="2" t="s">
        <v>23</v>
      </c>
      <c r="L259" s="2" t="s">
        <v>41</v>
      </c>
      <c r="M259" s="2" t="s">
        <v>42</v>
      </c>
      <c r="N259" s="2" t="s">
        <v>55</v>
      </c>
      <c r="O259" s="10">
        <v>169</v>
      </c>
      <c r="P259" t="s">
        <v>44</v>
      </c>
      <c r="Q259" t="str">
        <f>_xlfn.XLOOKUP(C:C,'[1]ErberthPereira-targetlist(20260'!$D:$D,'[1]ErberthPereira-targetlist(20260'!$C:$C)</f>
        <v>350218700208824</v>
      </c>
    </row>
    <row r="260" spans="3:17" x14ac:dyDescent="0.3">
      <c r="C260" s="2" t="s">
        <v>633</v>
      </c>
      <c r="D260" s="2">
        <v>2025</v>
      </c>
      <c r="E260" s="2" t="s">
        <v>610</v>
      </c>
      <c r="F260" s="2" t="s">
        <v>18</v>
      </c>
      <c r="G260" s="2" t="s">
        <v>19</v>
      </c>
      <c r="H260" s="9" t="s">
        <v>634</v>
      </c>
      <c r="I260" s="9" t="s">
        <v>170</v>
      </c>
      <c r="J260" s="2" t="s">
        <v>40</v>
      </c>
      <c r="K260" s="2" t="s">
        <v>23</v>
      </c>
      <c r="L260" s="2" t="s">
        <v>24</v>
      </c>
      <c r="M260" s="2" t="s">
        <v>106</v>
      </c>
      <c r="N260" s="2" t="s">
        <v>26</v>
      </c>
      <c r="O260" s="10">
        <v>169</v>
      </c>
      <c r="P260" t="s">
        <v>358</v>
      </c>
      <c r="Q260" t="str">
        <f>_xlfn.XLOOKUP(C:C,'[1]ErberthPereira-targetlist(20260'!$D:$D,'[1]ErberthPereira-targetlist(20260'!$C:$C)</f>
        <v>350218700226917</v>
      </c>
    </row>
    <row r="261" spans="3:17" x14ac:dyDescent="0.3">
      <c r="C261" s="2" t="s">
        <v>635</v>
      </c>
      <c r="D261" s="2">
        <v>2025</v>
      </c>
      <c r="E261" s="2" t="s">
        <v>610</v>
      </c>
      <c r="F261" s="2" t="s">
        <v>18</v>
      </c>
      <c r="G261" s="2" t="s">
        <v>19</v>
      </c>
      <c r="H261" s="9" t="s">
        <v>636</v>
      </c>
      <c r="I261" s="9" t="s">
        <v>39</v>
      </c>
      <c r="J261" s="2" t="s">
        <v>34</v>
      </c>
      <c r="K261" s="2" t="s">
        <v>23</v>
      </c>
      <c r="L261" s="2" t="s">
        <v>41</v>
      </c>
      <c r="M261" s="2" t="s">
        <v>42</v>
      </c>
      <c r="N261" s="2" t="s">
        <v>55</v>
      </c>
      <c r="O261" s="10">
        <v>169</v>
      </c>
      <c r="P261" t="s">
        <v>44</v>
      </c>
      <c r="Q261" t="str">
        <f>_xlfn.XLOOKUP(C:C,'[1]ErberthPereira-targetlist(20260'!$D:$D,'[1]ErberthPereira-targetlist(20260'!$C:$C)</f>
        <v>350218700120565</v>
      </c>
    </row>
    <row r="262" spans="3:17" x14ac:dyDescent="0.3">
      <c r="C262" s="2" t="s">
        <v>637</v>
      </c>
      <c r="D262" s="2">
        <v>2025</v>
      </c>
      <c r="E262" s="2" t="s">
        <v>610</v>
      </c>
      <c r="F262" s="2" t="s">
        <v>18</v>
      </c>
      <c r="G262" s="2" t="s">
        <v>19</v>
      </c>
      <c r="H262" s="9" t="s">
        <v>638</v>
      </c>
      <c r="I262" s="9" t="s">
        <v>39</v>
      </c>
      <c r="J262" s="2" t="s">
        <v>80</v>
      </c>
      <c r="K262" s="2" t="s">
        <v>23</v>
      </c>
      <c r="L262" s="2" t="s">
        <v>41</v>
      </c>
      <c r="M262" s="2" t="s">
        <v>42</v>
      </c>
      <c r="N262" s="2" t="s">
        <v>55</v>
      </c>
      <c r="O262" s="10">
        <v>169</v>
      </c>
      <c r="P262" t="s">
        <v>44</v>
      </c>
      <c r="Q262" t="str">
        <f>_xlfn.XLOOKUP(C:C,'[1]ErberthPereira-targetlist(20260'!$D:$D,'[1]ErberthPereira-targetlist(20260'!$C:$C)</f>
        <v>350218700287190</v>
      </c>
    </row>
    <row r="263" spans="3:17" x14ac:dyDescent="0.3">
      <c r="C263" s="2" t="s">
        <v>639</v>
      </c>
      <c r="D263" s="2">
        <v>2025</v>
      </c>
      <c r="E263" s="2" t="s">
        <v>610</v>
      </c>
      <c r="F263" s="2" t="s">
        <v>18</v>
      </c>
      <c r="G263" s="2" t="s">
        <v>19</v>
      </c>
      <c r="H263" s="9" t="s">
        <v>640</v>
      </c>
      <c r="I263" s="9" t="s">
        <v>39</v>
      </c>
      <c r="J263" s="2" t="s">
        <v>34</v>
      </c>
      <c r="K263" s="2" t="s">
        <v>23</v>
      </c>
      <c r="L263" s="2" t="s">
        <v>41</v>
      </c>
      <c r="M263" s="2" t="s">
        <v>42</v>
      </c>
      <c r="N263" s="2" t="s">
        <v>55</v>
      </c>
      <c r="O263" s="10">
        <v>169</v>
      </c>
      <c r="P263" t="s">
        <v>44</v>
      </c>
      <c r="Q263" t="str">
        <f>_xlfn.XLOOKUP(C:C,'[1]ErberthPereira-targetlist(20260'!$D:$D,'[1]ErberthPereira-targetlist(20260'!$C:$C)</f>
        <v>350218700178605</v>
      </c>
    </row>
    <row r="264" spans="3:17" x14ac:dyDescent="0.3">
      <c r="C264" s="2" t="s">
        <v>641</v>
      </c>
      <c r="D264" s="2">
        <v>2024</v>
      </c>
      <c r="E264" s="2" t="s">
        <v>236</v>
      </c>
      <c r="F264" s="2" t="s">
        <v>128</v>
      </c>
      <c r="G264" s="2" t="s">
        <v>19</v>
      </c>
      <c r="H264" s="9" t="s">
        <v>642</v>
      </c>
      <c r="I264" s="9" t="s">
        <v>199</v>
      </c>
      <c r="J264" s="2" t="s">
        <v>34</v>
      </c>
      <c r="K264" s="2" t="s">
        <v>23</v>
      </c>
      <c r="L264" s="2" t="s">
        <v>61</v>
      </c>
      <c r="M264" s="2" t="s">
        <v>74</v>
      </c>
      <c r="N264" s="2" t="s">
        <v>200</v>
      </c>
      <c r="O264">
        <v>127</v>
      </c>
      <c r="P264" t="s">
        <v>75</v>
      </c>
      <c r="Q264" t="str">
        <f>_xlfn.XLOOKUP(C:C,'[1]ErberthPereira-targetlist(20260'!$D:$D,'[1]ErberthPereira-targetlist(20260'!$C:$C)</f>
        <v>350218700138005</v>
      </c>
    </row>
    <row r="265" spans="3:17" x14ac:dyDescent="0.3">
      <c r="C265" s="2" t="s">
        <v>643</v>
      </c>
      <c r="D265" s="2">
        <v>2025</v>
      </c>
      <c r="E265" s="2" t="s">
        <v>610</v>
      </c>
      <c r="F265" s="2" t="s">
        <v>18</v>
      </c>
      <c r="G265" s="2" t="s">
        <v>19</v>
      </c>
      <c r="H265" s="9" t="s">
        <v>644</v>
      </c>
      <c r="I265" s="9" t="s">
        <v>30</v>
      </c>
      <c r="J265" s="2" t="s">
        <v>22</v>
      </c>
      <c r="K265" s="2" t="s">
        <v>23</v>
      </c>
      <c r="L265" s="2" t="s">
        <v>24</v>
      </c>
      <c r="M265" s="2" t="s">
        <v>31</v>
      </c>
      <c r="N265" s="2" t="s">
        <v>645</v>
      </c>
      <c r="O265">
        <v>127</v>
      </c>
      <c r="P265" t="s">
        <v>69</v>
      </c>
      <c r="Q265" t="str">
        <f>_xlfn.XLOOKUP(C:C,'[1]ErberthPereira-targetlist(20260'!$D:$D,'[1]ErberthPereira-targetlist(20260'!$C:$C)</f>
        <v>350218700105749</v>
      </c>
    </row>
    <row r="266" spans="3:17" x14ac:dyDescent="0.3">
      <c r="C266" s="2" t="s">
        <v>646</v>
      </c>
      <c r="D266" s="2">
        <v>2025</v>
      </c>
      <c r="E266" s="2" t="s">
        <v>610</v>
      </c>
      <c r="F266" s="2" t="s">
        <v>18</v>
      </c>
      <c r="G266" s="2" t="s">
        <v>19</v>
      </c>
      <c r="H266" s="9" t="s">
        <v>647</v>
      </c>
      <c r="I266" s="9" t="str">
        <f>_xlfn.XLOOKUP(C:C,'[2]Final 2'!$A:$A,'[2]Final 2'!$G:$G)</f>
        <v>PABLO LOURA</v>
      </c>
      <c r="J266" s="2" t="s">
        <v>34</v>
      </c>
      <c r="K266" s="2" t="s">
        <v>23</v>
      </c>
      <c r="L266" s="2" t="s">
        <v>61</v>
      </c>
      <c r="M266" s="2" t="s">
        <v>74</v>
      </c>
      <c r="N266" s="2" t="str">
        <f>_xlfn.XLOOKUP(C:C,'[2]Final 2'!$A:$A,'[2]Final 2'!$S:$S)</f>
        <v>Manutenção de Equipamentos</v>
      </c>
      <c r="O266">
        <v>127</v>
      </c>
      <c r="P266" t="s">
        <v>648</v>
      </c>
      <c r="Q266" t="str">
        <f>_xlfn.XLOOKUP(C:C,'[1]ErberthPereira-targetlist(20260'!$D:$D,'[1]ErberthPereira-targetlist(20260'!$C:$C)</f>
        <v>350218700209046</v>
      </c>
    </row>
    <row r="267" spans="3:17" x14ac:dyDescent="0.3">
      <c r="C267" s="2" t="s">
        <v>649</v>
      </c>
      <c r="D267" s="2">
        <v>2025</v>
      </c>
      <c r="E267" s="2" t="s">
        <v>610</v>
      </c>
      <c r="F267" s="2" t="s">
        <v>18</v>
      </c>
      <c r="G267" s="2" t="s">
        <v>19</v>
      </c>
      <c r="H267" s="9" t="s">
        <v>650</v>
      </c>
      <c r="I267" s="9" t="str">
        <f>_xlfn.XLOOKUP(C:C,'[2]Final 2'!$A:$A,'[2]Final 2'!$G:$G)</f>
        <v>PABLO LOURA</v>
      </c>
      <c r="J267" s="2" t="s">
        <v>34</v>
      </c>
      <c r="K267" s="2" t="s">
        <v>23</v>
      </c>
      <c r="L267" s="2" t="s">
        <v>61</v>
      </c>
      <c r="M267" s="2" t="s">
        <v>74</v>
      </c>
      <c r="N267" s="2" t="str">
        <f>_xlfn.XLOOKUP(C:C,'[2]Final 2'!$A:$A,'[2]Final 2'!$S:$S)</f>
        <v>Manutenção de Equipamentos</v>
      </c>
      <c r="O267">
        <v>127</v>
      </c>
      <c r="P267" t="s">
        <v>648</v>
      </c>
      <c r="Q267" t="str">
        <f>_xlfn.XLOOKUP(C:C,'[1]ErberthPereira-targetlist(20260'!$D:$D,'[1]ErberthPereira-targetlist(20260'!$C:$C)</f>
        <v>350218700170768</v>
      </c>
    </row>
    <row r="268" spans="3:17" x14ac:dyDescent="0.3">
      <c r="C268" s="2" t="s">
        <v>651</v>
      </c>
      <c r="D268" s="2">
        <v>2025</v>
      </c>
      <c r="E268" s="2" t="s">
        <v>610</v>
      </c>
      <c r="F268" s="2" t="s">
        <v>18</v>
      </c>
      <c r="G268" s="2" t="s">
        <v>19</v>
      </c>
      <c r="H268" s="9" t="s">
        <v>652</v>
      </c>
      <c r="I268" s="9" t="s">
        <v>142</v>
      </c>
      <c r="J268" s="2" t="s">
        <v>139</v>
      </c>
      <c r="K268" s="2" t="s">
        <v>23</v>
      </c>
      <c r="L268" s="2" t="s">
        <v>24</v>
      </c>
      <c r="M268" s="2" t="s">
        <v>31</v>
      </c>
      <c r="N268" s="2" t="s">
        <v>26</v>
      </c>
      <c r="O268">
        <v>127</v>
      </c>
      <c r="P268" t="s">
        <v>27</v>
      </c>
      <c r="Q268" t="str">
        <f>_xlfn.XLOOKUP(C:C,'[1]ErberthPereira-targetlist(20260'!$D:$D,'[1]ErberthPereira-targetlist(20260'!$C:$C)</f>
        <v>350218700280401</v>
      </c>
    </row>
    <row r="269" spans="3:17" x14ac:dyDescent="0.3">
      <c r="C269" s="2" t="s">
        <v>653</v>
      </c>
      <c r="D269" s="2">
        <v>2025</v>
      </c>
      <c r="E269" s="2" t="s">
        <v>610</v>
      </c>
      <c r="F269" s="2" t="s">
        <v>18</v>
      </c>
      <c r="G269" s="2" t="s">
        <v>19</v>
      </c>
      <c r="H269" s="9" t="s">
        <v>654</v>
      </c>
      <c r="I269" s="9" t="s">
        <v>39</v>
      </c>
      <c r="J269" s="2" t="s">
        <v>34</v>
      </c>
      <c r="K269" s="2" t="s">
        <v>23</v>
      </c>
      <c r="L269" s="2" t="s">
        <v>41</v>
      </c>
      <c r="M269" s="2" t="s">
        <v>42</v>
      </c>
      <c r="N269" s="2" t="s">
        <v>55</v>
      </c>
      <c r="O269" s="10">
        <v>169</v>
      </c>
      <c r="P269" t="s">
        <v>44</v>
      </c>
      <c r="Q269" t="str">
        <f>_xlfn.XLOOKUP(C:C,'[1]ErberthPereira-targetlist(20260'!$D:$D,'[1]ErberthPereira-targetlist(20260'!$C:$C)</f>
        <v>350218700176302</v>
      </c>
    </row>
    <row r="270" spans="3:17" x14ac:dyDescent="0.3">
      <c r="C270" s="2" t="s">
        <v>655</v>
      </c>
      <c r="D270" s="2">
        <v>2025</v>
      </c>
      <c r="E270" s="2" t="s">
        <v>610</v>
      </c>
      <c r="F270" s="2" t="s">
        <v>18</v>
      </c>
      <c r="G270" s="2" t="s">
        <v>19</v>
      </c>
      <c r="H270" s="9" t="s">
        <v>656</v>
      </c>
      <c r="I270" s="9" t="s">
        <v>30</v>
      </c>
      <c r="J270" s="2" t="s">
        <v>22</v>
      </c>
      <c r="K270" s="2" t="s">
        <v>23</v>
      </c>
      <c r="L270" s="2" t="s">
        <v>24</v>
      </c>
      <c r="M270" s="2" t="s">
        <v>31</v>
      </c>
      <c r="N270" s="2" t="s">
        <v>614</v>
      </c>
      <c r="O270">
        <v>127</v>
      </c>
      <c r="P270" t="s">
        <v>36</v>
      </c>
      <c r="Q270" t="str">
        <f>_xlfn.XLOOKUP(C:C,'[1]ErberthPereira-targetlist(20260'!$D:$D,'[1]ErberthPereira-targetlist(20260'!$C:$C)</f>
        <v>350218700280294</v>
      </c>
    </row>
    <row r="271" spans="3:17" x14ac:dyDescent="0.3">
      <c r="C271" s="2" t="s">
        <v>657</v>
      </c>
      <c r="D271" s="2">
        <v>2025</v>
      </c>
      <c r="E271" s="2" t="s">
        <v>610</v>
      </c>
      <c r="F271" s="2" t="s">
        <v>18</v>
      </c>
      <c r="G271" s="2" t="s">
        <v>19</v>
      </c>
      <c r="H271" s="9" t="s">
        <v>658</v>
      </c>
      <c r="I271" s="9" t="s">
        <v>39</v>
      </c>
      <c r="J271" s="2" t="s">
        <v>22</v>
      </c>
      <c r="K271" s="2" t="s">
        <v>23</v>
      </c>
      <c r="L271" s="2" t="s">
        <v>41</v>
      </c>
      <c r="M271" s="2" t="s">
        <v>42</v>
      </c>
      <c r="N271" s="2" t="s">
        <v>55</v>
      </c>
      <c r="O271" s="10">
        <v>169</v>
      </c>
      <c r="P271" t="s">
        <v>44</v>
      </c>
      <c r="Q271" t="str">
        <f>_xlfn.XLOOKUP(C:C,'[1]ErberthPereira-targetlist(20260'!$D:$D,'[1]ErberthPereira-targetlist(20260'!$C:$C)</f>
        <v>350218700150042</v>
      </c>
    </row>
    <row r="272" spans="3:17" x14ac:dyDescent="0.3">
      <c r="C272" s="2" t="s">
        <v>659</v>
      </c>
      <c r="D272" s="2">
        <v>2025</v>
      </c>
      <c r="E272" s="2" t="s">
        <v>610</v>
      </c>
      <c r="F272" s="2" t="s">
        <v>18</v>
      </c>
      <c r="G272" s="2" t="s">
        <v>19</v>
      </c>
      <c r="H272" s="9" t="s">
        <v>660</v>
      </c>
      <c r="I272" s="9" t="s">
        <v>166</v>
      </c>
      <c r="J272" s="2" t="s">
        <v>80</v>
      </c>
      <c r="K272" s="2" t="s">
        <v>23</v>
      </c>
      <c r="L272" s="2" t="s">
        <v>24</v>
      </c>
      <c r="M272" s="2" t="s">
        <v>106</v>
      </c>
      <c r="N272" s="2" t="s">
        <v>26</v>
      </c>
      <c r="O272" s="10">
        <v>169</v>
      </c>
      <c r="P272" t="s">
        <v>358</v>
      </c>
      <c r="Q272" t="str">
        <f>_xlfn.XLOOKUP(C:C,'[1]ErberthPereira-targetlist(20260'!$D:$D,'[1]ErberthPereira-targetlist(20260'!$C:$C)</f>
        <v>350218700141983</v>
      </c>
    </row>
    <row r="273" spans="3:17" x14ac:dyDescent="0.3">
      <c r="C273" s="2" t="s">
        <v>661</v>
      </c>
      <c r="D273" s="2">
        <v>2025</v>
      </c>
      <c r="E273" s="2" t="s">
        <v>610</v>
      </c>
      <c r="F273" s="2" t="s">
        <v>18</v>
      </c>
      <c r="G273" s="2" t="s">
        <v>19</v>
      </c>
      <c r="H273" s="9" t="s">
        <v>662</v>
      </c>
      <c r="I273" s="9" t="s">
        <v>166</v>
      </c>
      <c r="J273" s="2" t="s">
        <v>80</v>
      </c>
      <c r="K273" s="2" t="s">
        <v>23</v>
      </c>
      <c r="L273" s="2" t="s">
        <v>24</v>
      </c>
      <c r="M273" s="2" t="s">
        <v>106</v>
      </c>
      <c r="N273" s="2" t="s">
        <v>614</v>
      </c>
      <c r="O273" s="10">
        <v>169</v>
      </c>
      <c r="P273" t="s">
        <v>277</v>
      </c>
      <c r="Q273" t="str">
        <f>_xlfn.XLOOKUP(C:C,'[1]ErberthPereira-targetlist(20260'!$D:$D,'[1]ErberthPereira-targetlist(20260'!$C:$C)</f>
        <v>350218700123213</v>
      </c>
    </row>
    <row r="274" spans="3:17" x14ac:dyDescent="0.3">
      <c r="C274" s="2" t="s">
        <v>663</v>
      </c>
      <c r="D274" s="2">
        <v>2025</v>
      </c>
      <c r="E274" s="2" t="s">
        <v>610</v>
      </c>
      <c r="F274" s="2" t="s">
        <v>18</v>
      </c>
      <c r="G274" s="2" t="s">
        <v>19</v>
      </c>
      <c r="H274" s="9" t="s">
        <v>664</v>
      </c>
      <c r="I274" s="9" t="s">
        <v>39</v>
      </c>
      <c r="J274" s="2" t="s">
        <v>40</v>
      </c>
      <c r="K274" s="2" t="s">
        <v>23</v>
      </c>
      <c r="L274" s="2" t="s">
        <v>41</v>
      </c>
      <c r="M274" s="2" t="s">
        <v>42</v>
      </c>
      <c r="N274" s="2" t="s">
        <v>55</v>
      </c>
      <c r="O274" s="10">
        <v>169</v>
      </c>
      <c r="P274" t="s">
        <v>44</v>
      </c>
      <c r="Q274" t="str">
        <f>_xlfn.XLOOKUP(C:C,'[1]ErberthPereira-targetlist(20260'!$D:$D,'[1]ErberthPereira-targetlist(20260'!$C:$C)</f>
        <v>350218700138237</v>
      </c>
    </row>
    <row r="275" spans="3:17" x14ac:dyDescent="0.3">
      <c r="C275" s="2" t="s">
        <v>665</v>
      </c>
      <c r="D275" s="2">
        <v>2025</v>
      </c>
      <c r="E275" s="2" t="s">
        <v>610</v>
      </c>
      <c r="F275" s="2" t="s">
        <v>18</v>
      </c>
      <c r="G275" s="2" t="s">
        <v>19</v>
      </c>
      <c r="H275" s="9" t="s">
        <v>666</v>
      </c>
      <c r="I275" s="9" t="s">
        <v>47</v>
      </c>
      <c r="J275" s="2" t="s">
        <v>34</v>
      </c>
      <c r="K275" s="2" t="s">
        <v>23</v>
      </c>
      <c r="L275" s="2" t="s">
        <v>24</v>
      </c>
      <c r="M275" s="2" t="s">
        <v>31</v>
      </c>
      <c r="N275" s="2" t="s">
        <v>614</v>
      </c>
      <c r="O275">
        <v>127</v>
      </c>
      <c r="P275" t="s">
        <v>36</v>
      </c>
      <c r="Q275" t="str">
        <f>_xlfn.XLOOKUP(C:C,'[1]ErberthPereira-targetlist(20260'!$D:$D,'[1]ErberthPereira-targetlist(20260'!$C:$C)</f>
        <v>350218700142197</v>
      </c>
    </row>
    <row r="276" spans="3:17" x14ac:dyDescent="0.3">
      <c r="C276" s="2" t="s">
        <v>667</v>
      </c>
      <c r="D276" s="2">
        <v>2025</v>
      </c>
      <c r="E276" s="2" t="s">
        <v>610</v>
      </c>
      <c r="F276" s="2" t="s">
        <v>18</v>
      </c>
      <c r="G276" s="2" t="s">
        <v>19</v>
      </c>
      <c r="H276" s="9" t="s">
        <v>668</v>
      </c>
      <c r="I276" s="9" t="s">
        <v>39</v>
      </c>
      <c r="J276" s="2" t="s">
        <v>34</v>
      </c>
      <c r="K276" s="2" t="s">
        <v>23</v>
      </c>
      <c r="L276" s="2" t="s">
        <v>41</v>
      </c>
      <c r="M276" s="2" t="s">
        <v>42</v>
      </c>
      <c r="N276" s="2" t="s">
        <v>55</v>
      </c>
      <c r="O276" s="10">
        <v>169</v>
      </c>
      <c r="P276" t="s">
        <v>44</v>
      </c>
      <c r="Q276" t="str">
        <f>_xlfn.XLOOKUP(C:C,'[1]ErberthPereira-targetlist(20260'!$D:$D,'[1]ErberthPereira-targetlist(20260'!$C:$C)</f>
        <v>350218700193562</v>
      </c>
    </row>
    <row r="277" spans="3:17" x14ac:dyDescent="0.3">
      <c r="C277" s="2" t="s">
        <v>669</v>
      </c>
      <c r="D277" s="2">
        <v>2025</v>
      </c>
      <c r="E277" s="2" t="s">
        <v>610</v>
      </c>
      <c r="F277" s="2" t="s">
        <v>18</v>
      </c>
      <c r="G277" s="2" t="s">
        <v>19</v>
      </c>
      <c r="H277" s="9" t="s">
        <v>670</v>
      </c>
      <c r="I277" s="9" t="str">
        <f>_xlfn.XLOOKUP(C:C,'[2]Final 2'!$A:$A,'[2]Final 2'!$G:$G)</f>
        <v>PABLO LOURA</v>
      </c>
      <c r="J277" s="2" t="s">
        <v>34</v>
      </c>
      <c r="K277" s="2" t="s">
        <v>23</v>
      </c>
      <c r="L277" s="2" t="s">
        <v>61</v>
      </c>
      <c r="M277" s="2" t="s">
        <v>74</v>
      </c>
      <c r="N277" s="2" t="str">
        <f>_xlfn.XLOOKUP(C:C,'[2]Final 2'!$A:$A,'[2]Final 2'!$S:$S)</f>
        <v>Manutenção de Equipamentos</v>
      </c>
      <c r="O277">
        <v>127</v>
      </c>
      <c r="P277" t="s">
        <v>648</v>
      </c>
      <c r="Q277" t="str">
        <f>_xlfn.XLOOKUP(C:C,'[1]ErberthPereira-targetlist(20260'!$D:$D,'[1]ErberthPereira-targetlist(20260'!$C:$C)</f>
        <v>350218700121373</v>
      </c>
    </row>
    <row r="278" spans="3:17" x14ac:dyDescent="0.3">
      <c r="C278" s="2" t="s">
        <v>671</v>
      </c>
      <c r="D278" s="2">
        <v>2025</v>
      </c>
      <c r="E278" s="2" t="s">
        <v>610</v>
      </c>
      <c r="F278" s="2" t="s">
        <v>18</v>
      </c>
      <c r="G278" s="2" t="s">
        <v>19</v>
      </c>
      <c r="H278" s="9" t="s">
        <v>672</v>
      </c>
      <c r="I278" s="9" t="s">
        <v>39</v>
      </c>
      <c r="J278" s="2" t="s">
        <v>22</v>
      </c>
      <c r="K278" s="2" t="s">
        <v>23</v>
      </c>
      <c r="L278" s="2" t="s">
        <v>41</v>
      </c>
      <c r="M278" s="2" t="s">
        <v>42</v>
      </c>
      <c r="N278" s="2" t="s">
        <v>55</v>
      </c>
      <c r="O278" s="10">
        <v>169</v>
      </c>
      <c r="P278" t="s">
        <v>44</v>
      </c>
      <c r="Q278" t="str">
        <f>_xlfn.XLOOKUP(C:C,'[1]ErberthPereira-targetlist(20260'!$D:$D,'[1]ErberthPereira-targetlist(20260'!$C:$C)</f>
        <v>350218700245388</v>
      </c>
    </row>
    <row r="279" spans="3:17" x14ac:dyDescent="0.3">
      <c r="C279" s="2" t="s">
        <v>673</v>
      </c>
      <c r="D279" s="2">
        <v>2025</v>
      </c>
      <c r="E279" s="2" t="s">
        <v>610</v>
      </c>
      <c r="F279" s="2" t="s">
        <v>18</v>
      </c>
      <c r="G279" s="2" t="s">
        <v>19</v>
      </c>
      <c r="H279" s="9" t="s">
        <v>674</v>
      </c>
      <c r="I279" s="9" t="s">
        <v>47</v>
      </c>
      <c r="J279" s="2" t="s">
        <v>34</v>
      </c>
      <c r="K279" s="2" t="s">
        <v>23</v>
      </c>
      <c r="L279" s="2" t="s">
        <v>24</v>
      </c>
      <c r="M279" s="2" t="s">
        <v>31</v>
      </c>
      <c r="N279" s="2" t="s">
        <v>26</v>
      </c>
      <c r="O279">
        <v>127</v>
      </c>
      <c r="P279" t="s">
        <v>27</v>
      </c>
      <c r="Q279" t="str">
        <f>_xlfn.XLOOKUP(C:C,'[1]ErberthPereira-targetlist(20260'!$D:$D,'[1]ErberthPereira-targetlist(20260'!$C:$C)</f>
        <v>350218700160934</v>
      </c>
    </row>
    <row r="280" spans="3:17" x14ac:dyDescent="0.3">
      <c r="C280" s="2" t="s">
        <v>675</v>
      </c>
      <c r="D280" s="2">
        <v>2025</v>
      </c>
      <c r="E280" s="2" t="s">
        <v>610</v>
      </c>
      <c r="F280" s="2" t="s">
        <v>18</v>
      </c>
      <c r="G280" s="2" t="s">
        <v>19</v>
      </c>
      <c r="H280" s="9" t="s">
        <v>676</v>
      </c>
      <c r="I280" s="9" t="s">
        <v>39</v>
      </c>
      <c r="J280" s="2" t="s">
        <v>34</v>
      </c>
      <c r="K280" s="2" t="s">
        <v>23</v>
      </c>
      <c r="L280" s="2" t="s">
        <v>41</v>
      </c>
      <c r="M280" s="2" t="s">
        <v>42</v>
      </c>
      <c r="N280" s="2" t="s">
        <v>55</v>
      </c>
      <c r="O280" s="10">
        <v>169</v>
      </c>
      <c r="P280" t="s">
        <v>44</v>
      </c>
      <c r="Q280" t="str">
        <f>_xlfn.XLOOKUP(C:C,'[1]ErberthPereira-targetlist(20260'!$D:$D,'[1]ErberthPereira-targetlist(20260'!$C:$C)</f>
        <v>350218700219201</v>
      </c>
    </row>
    <row r="281" spans="3:17" x14ac:dyDescent="0.3">
      <c r="C281" s="2" t="s">
        <v>677</v>
      </c>
      <c r="D281" s="2">
        <v>2025</v>
      </c>
      <c r="E281" s="2" t="s">
        <v>610</v>
      </c>
      <c r="F281" s="2" t="s">
        <v>18</v>
      </c>
      <c r="G281" s="2" t="s">
        <v>19</v>
      </c>
      <c r="H281" s="9" t="s">
        <v>678</v>
      </c>
      <c r="I281" s="9" t="s">
        <v>47</v>
      </c>
      <c r="J281" s="2" t="s">
        <v>34</v>
      </c>
      <c r="K281" s="2" t="s">
        <v>23</v>
      </c>
      <c r="L281" s="2" t="s">
        <v>24</v>
      </c>
      <c r="M281" s="2" t="s">
        <v>31</v>
      </c>
      <c r="N281" s="2" t="s">
        <v>614</v>
      </c>
      <c r="O281">
        <v>127</v>
      </c>
      <c r="P281" t="s">
        <v>36</v>
      </c>
      <c r="Q281" t="str">
        <f>_xlfn.XLOOKUP(C:C,'[1]ErberthPereira-targetlist(20260'!$D:$D,'[1]ErberthPereira-targetlist(20260'!$C:$C)</f>
        <v>350218700001682</v>
      </c>
    </row>
    <row r="282" spans="3:17" x14ac:dyDescent="0.3">
      <c r="C282" s="2" t="s">
        <v>679</v>
      </c>
      <c r="D282" s="2">
        <v>2025</v>
      </c>
      <c r="E282" s="2" t="s">
        <v>610</v>
      </c>
      <c r="F282" s="2" t="s">
        <v>18</v>
      </c>
      <c r="G282" s="2" t="s">
        <v>19</v>
      </c>
      <c r="H282" s="9" t="s">
        <v>680</v>
      </c>
      <c r="I282" s="9" t="s">
        <v>30</v>
      </c>
      <c r="J282" s="2" t="s">
        <v>22</v>
      </c>
      <c r="K282" s="2" t="s">
        <v>23</v>
      </c>
      <c r="L282" s="2" t="s">
        <v>24</v>
      </c>
      <c r="M282" s="2" t="s">
        <v>31</v>
      </c>
      <c r="N282" s="2" t="s">
        <v>645</v>
      </c>
      <c r="O282">
        <v>127</v>
      </c>
      <c r="P282" t="s">
        <v>69</v>
      </c>
      <c r="Q282" t="str">
        <f>_xlfn.XLOOKUP(C:C,'[1]ErberthPereira-targetlist(20260'!$D:$D,'[1]ErberthPereira-targetlist(20260'!$C:$C)</f>
        <v>350218700201290</v>
      </c>
    </row>
    <row r="283" spans="3:17" x14ac:dyDescent="0.3">
      <c r="C283" s="2" t="s">
        <v>681</v>
      </c>
      <c r="D283" s="2">
        <v>2025</v>
      </c>
      <c r="E283" s="2" t="s">
        <v>610</v>
      </c>
      <c r="F283" s="2" t="s">
        <v>18</v>
      </c>
      <c r="G283" s="2" t="s">
        <v>19</v>
      </c>
      <c r="H283" s="9" t="s">
        <v>682</v>
      </c>
      <c r="I283" s="9" t="s">
        <v>39</v>
      </c>
      <c r="J283" s="2" t="s">
        <v>80</v>
      </c>
      <c r="K283" s="2" t="s">
        <v>23</v>
      </c>
      <c r="L283" s="2" t="s">
        <v>41</v>
      </c>
      <c r="M283" s="2" t="s">
        <v>42</v>
      </c>
      <c r="N283" s="2" t="s">
        <v>55</v>
      </c>
      <c r="O283" s="10">
        <v>169</v>
      </c>
      <c r="P283" t="s">
        <v>44</v>
      </c>
      <c r="Q283" t="str">
        <f>_xlfn.XLOOKUP(C:C,'[1]ErberthPereira-targetlist(20260'!$D:$D,'[1]ErberthPereira-targetlist(20260'!$C:$C)</f>
        <v>350218700222528</v>
      </c>
    </row>
    <row r="284" spans="3:17" x14ac:dyDescent="0.3">
      <c r="C284" s="2" t="s">
        <v>683</v>
      </c>
      <c r="D284" s="2">
        <v>2025</v>
      </c>
      <c r="E284" s="2" t="s">
        <v>610</v>
      </c>
      <c r="F284" s="2" t="s">
        <v>18</v>
      </c>
      <c r="G284" s="2" t="s">
        <v>19</v>
      </c>
      <c r="H284" s="9" t="s">
        <v>684</v>
      </c>
      <c r="I284" s="9" t="s">
        <v>30</v>
      </c>
      <c r="J284" s="2" t="s">
        <v>22</v>
      </c>
      <c r="K284" s="2" t="s">
        <v>23</v>
      </c>
      <c r="L284" s="2" t="s">
        <v>24</v>
      </c>
      <c r="M284" s="2" t="s">
        <v>31</v>
      </c>
      <c r="N284" s="2" t="s">
        <v>614</v>
      </c>
      <c r="O284">
        <v>127</v>
      </c>
      <c r="P284" t="s">
        <v>36</v>
      </c>
      <c r="Q284" t="str">
        <f>_xlfn.XLOOKUP(C:C,'[1]ErberthPereira-targetlist(20260'!$D:$D,'[1]ErberthPereira-targetlist(20260'!$C:$C)</f>
        <v>350218700101151</v>
      </c>
    </row>
    <row r="285" spans="3:17" x14ac:dyDescent="0.3">
      <c r="C285" s="2" t="s">
        <v>685</v>
      </c>
      <c r="D285" s="2">
        <v>2025</v>
      </c>
      <c r="E285" s="2" t="s">
        <v>610</v>
      </c>
      <c r="F285" s="2" t="s">
        <v>18</v>
      </c>
      <c r="G285" s="2" t="s">
        <v>19</v>
      </c>
      <c r="H285" s="9" t="s">
        <v>686</v>
      </c>
      <c r="I285" s="9" t="s">
        <v>39</v>
      </c>
      <c r="J285" s="2" t="s">
        <v>22</v>
      </c>
      <c r="K285" s="2" t="s">
        <v>23</v>
      </c>
      <c r="L285" s="2" t="s">
        <v>41</v>
      </c>
      <c r="M285" s="2" t="s">
        <v>42</v>
      </c>
      <c r="N285" s="2" t="s">
        <v>55</v>
      </c>
      <c r="O285" s="10">
        <v>169</v>
      </c>
      <c r="P285" t="s">
        <v>44</v>
      </c>
      <c r="Q285" t="str">
        <f>_xlfn.XLOOKUP(C:C,'[1]ErberthPereira-targetlist(20260'!$D:$D,'[1]ErberthPereira-targetlist(20260'!$C:$C)</f>
        <v>350218700218484</v>
      </c>
    </row>
    <row r="286" spans="3:17" x14ac:dyDescent="0.3">
      <c r="C286" s="2" t="s">
        <v>687</v>
      </c>
      <c r="D286" s="2">
        <v>2025</v>
      </c>
      <c r="E286" s="2" t="s">
        <v>610</v>
      </c>
      <c r="F286" s="2" t="s">
        <v>18</v>
      </c>
      <c r="G286" s="2" t="s">
        <v>19</v>
      </c>
      <c r="H286" s="9" t="s">
        <v>688</v>
      </c>
      <c r="I286" s="9" t="s">
        <v>39</v>
      </c>
      <c r="J286" s="2" t="s">
        <v>40</v>
      </c>
      <c r="K286" s="2" t="s">
        <v>23</v>
      </c>
      <c r="L286" s="2" t="s">
        <v>41</v>
      </c>
      <c r="M286" s="2" t="s">
        <v>42</v>
      </c>
      <c r="N286" s="2" t="s">
        <v>55</v>
      </c>
      <c r="O286" s="10">
        <v>169</v>
      </c>
      <c r="P286" t="s">
        <v>44</v>
      </c>
      <c r="Q286" t="str">
        <f>_xlfn.XLOOKUP(C:C,'[1]ErberthPereira-targetlist(20260'!$D:$D,'[1]ErberthPereira-targetlist(20260'!$C:$C)</f>
        <v>350218700208972</v>
      </c>
    </row>
    <row r="287" spans="3:17" ht="14.25" customHeight="1" x14ac:dyDescent="0.3">
      <c r="C287" s="2" t="s">
        <v>689</v>
      </c>
      <c r="D287" s="2">
        <v>2025</v>
      </c>
      <c r="E287" s="2" t="s">
        <v>610</v>
      </c>
      <c r="F287" s="2" t="s">
        <v>18</v>
      </c>
      <c r="G287" s="2" t="s">
        <v>19</v>
      </c>
      <c r="H287" s="9" t="s">
        <v>690</v>
      </c>
      <c r="I287" s="9" t="s">
        <v>142</v>
      </c>
      <c r="J287" s="2" t="s">
        <v>139</v>
      </c>
      <c r="K287" s="2" t="s">
        <v>23</v>
      </c>
      <c r="L287" s="2" t="s">
        <v>24</v>
      </c>
      <c r="M287" s="2" t="s">
        <v>31</v>
      </c>
      <c r="N287" s="2" t="s">
        <v>614</v>
      </c>
      <c r="O287">
        <v>127</v>
      </c>
      <c r="P287" t="s">
        <v>36</v>
      </c>
      <c r="Q287" t="str">
        <f>_xlfn.XLOOKUP(C:C,'[1]ErberthPereira-targetlist(20260'!$D:$D,'[1]ErberthPereira-targetlist(20260'!$C:$C)</f>
        <v>350218700202553</v>
      </c>
    </row>
    <row r="288" spans="3:17" x14ac:dyDescent="0.3">
      <c r="C288" s="2" t="s">
        <v>691</v>
      </c>
      <c r="D288" s="2">
        <v>2025</v>
      </c>
      <c r="E288" s="2" t="s">
        <v>610</v>
      </c>
      <c r="F288" s="2" t="s">
        <v>18</v>
      </c>
      <c r="G288" s="2" t="s">
        <v>19</v>
      </c>
      <c r="H288" s="9" t="s">
        <v>692</v>
      </c>
      <c r="I288" s="9" t="s">
        <v>39</v>
      </c>
      <c r="J288" s="2" t="s">
        <v>34</v>
      </c>
      <c r="K288" s="2" t="s">
        <v>23</v>
      </c>
      <c r="L288" s="2" t="s">
        <v>41</v>
      </c>
      <c r="M288" s="2" t="s">
        <v>42</v>
      </c>
      <c r="N288" s="2" t="s">
        <v>55</v>
      </c>
      <c r="O288" s="10">
        <v>169</v>
      </c>
      <c r="P288" t="s">
        <v>44</v>
      </c>
      <c r="Q288" t="str">
        <f>_xlfn.XLOOKUP(C:C,'[1]ErberthPereira-targetlist(20260'!$D:$D,'[1]ErberthPereira-targetlist(20260'!$C:$C)</f>
        <v>350218700238391</v>
      </c>
    </row>
    <row r="289" spans="3:17" x14ac:dyDescent="0.3">
      <c r="C289" s="2" t="s">
        <v>693</v>
      </c>
      <c r="D289" s="2">
        <v>2025</v>
      </c>
      <c r="E289" s="2" t="s">
        <v>610</v>
      </c>
      <c r="F289" s="2" t="s">
        <v>18</v>
      </c>
      <c r="G289" s="2" t="s">
        <v>19</v>
      </c>
      <c r="H289" s="9" t="s">
        <v>694</v>
      </c>
      <c r="I289" s="9" t="str">
        <f>_xlfn.XLOOKUP(C:C,'[2]Final 2'!$A:$A,'[2]Final 2'!$G:$G)</f>
        <v>PABLO LOURA</v>
      </c>
      <c r="J289" s="2" t="s">
        <v>34</v>
      </c>
      <c r="K289" s="2" t="s">
        <v>23</v>
      </c>
      <c r="L289" s="2" t="s">
        <v>61</v>
      </c>
      <c r="M289" s="2" t="s">
        <v>74</v>
      </c>
      <c r="N289" s="2" t="str">
        <f>_xlfn.XLOOKUP(C:C,'[2]Final 2'!$A:$A,'[2]Final 2'!$S:$S)</f>
        <v>Equipes de Qualidade</v>
      </c>
      <c r="O289">
        <v>127</v>
      </c>
      <c r="P289" t="s">
        <v>648</v>
      </c>
      <c r="Q289" t="str">
        <f>_xlfn.XLOOKUP(C:C,'[1]ErberthPereira-targetlist(20260'!$D:$D,'[1]ErberthPereira-targetlist(20260'!$C:$C)</f>
        <v>350218700232295</v>
      </c>
    </row>
    <row r="290" spans="3:17" x14ac:dyDescent="0.3">
      <c r="C290" s="2" t="s">
        <v>695</v>
      </c>
      <c r="D290" s="2">
        <v>2023</v>
      </c>
      <c r="E290" s="2" t="s">
        <v>300</v>
      </c>
      <c r="F290" s="2" t="s">
        <v>301</v>
      </c>
      <c r="G290" s="2" t="s">
        <v>231</v>
      </c>
      <c r="H290" s="9" t="s">
        <v>33</v>
      </c>
      <c r="I290" s="9" t="s">
        <v>176</v>
      </c>
      <c r="J290" s="2" t="s">
        <v>80</v>
      </c>
      <c r="K290" s="2" t="s">
        <v>33</v>
      </c>
      <c r="L290" s="2" t="s">
        <v>61</v>
      </c>
      <c r="M290" s="2" t="s">
        <v>62</v>
      </c>
      <c r="N290" s="2" t="s">
        <v>303</v>
      </c>
      <c r="O290" s="10">
        <v>169</v>
      </c>
      <c r="P290" t="s">
        <v>471</v>
      </c>
      <c r="Q290" t="str">
        <f>_xlfn.XLOOKUP(C:C,'[1]ErberthPereira-targetlist(20260'!$D:$D,'[1]ErberthPereira-targetlist(20260'!$C:$C)</f>
        <v>350218700149002</v>
      </c>
    </row>
    <row r="291" spans="3:17" x14ac:dyDescent="0.3">
      <c r="C291" s="2" t="s">
        <v>696</v>
      </c>
      <c r="D291" s="2">
        <v>2025</v>
      </c>
      <c r="E291" s="2" t="s">
        <v>697</v>
      </c>
      <c r="F291" s="2" t="s">
        <v>159</v>
      </c>
      <c r="G291" s="2" t="s">
        <v>214</v>
      </c>
      <c r="H291" s="9" t="s">
        <v>698</v>
      </c>
      <c r="I291" s="9" t="s">
        <v>30</v>
      </c>
      <c r="J291" s="2" t="s">
        <v>22</v>
      </c>
      <c r="K291" s="2" t="s">
        <v>23</v>
      </c>
      <c r="L291" s="2" t="s">
        <v>24</v>
      </c>
      <c r="M291" s="2" t="s">
        <v>31</v>
      </c>
      <c r="N291" s="2" t="s">
        <v>161</v>
      </c>
      <c r="O291">
        <v>127</v>
      </c>
      <c r="P291" t="s">
        <v>162</v>
      </c>
      <c r="Q291" t="str">
        <f>_xlfn.XLOOKUP(C:C,'[1]ErberthPereira-targetlist(20260'!$D:$D,'[1]ErberthPereira-targetlist(20260'!$C:$C)</f>
        <v>350218700234341</v>
      </c>
    </row>
    <row r="292" spans="3:17" x14ac:dyDescent="0.3">
      <c r="C292" s="2" t="s">
        <v>699</v>
      </c>
      <c r="D292" s="2">
        <v>2025</v>
      </c>
      <c r="E292" s="2" t="s">
        <v>697</v>
      </c>
      <c r="F292" s="2" t="s">
        <v>159</v>
      </c>
      <c r="G292" s="2" t="s">
        <v>214</v>
      </c>
      <c r="H292" s="9" t="s">
        <v>700</v>
      </c>
      <c r="I292" s="9" t="s">
        <v>47</v>
      </c>
      <c r="J292" s="2" t="s">
        <v>34</v>
      </c>
      <c r="K292" s="2" t="s">
        <v>23</v>
      </c>
      <c r="L292" s="2" t="s">
        <v>24</v>
      </c>
      <c r="M292" s="2" t="s">
        <v>31</v>
      </c>
      <c r="N292" s="2" t="s">
        <v>161</v>
      </c>
      <c r="O292">
        <v>127</v>
      </c>
      <c r="P292" t="s">
        <v>162</v>
      </c>
      <c r="Q292" t="str">
        <f>_xlfn.XLOOKUP(C:C,'[1]ErberthPereira-targetlist(20260'!$D:$D,'[1]ErberthPereira-targetlist(20260'!$C:$C)</f>
        <v>350218700120235</v>
      </c>
    </row>
    <row r="293" spans="3:17" x14ac:dyDescent="0.3">
      <c r="C293" s="2" t="s">
        <v>701</v>
      </c>
      <c r="D293" s="2">
        <v>2025</v>
      </c>
      <c r="E293" s="2" t="s">
        <v>697</v>
      </c>
      <c r="F293" s="2" t="s">
        <v>159</v>
      </c>
      <c r="G293" s="2" t="s">
        <v>214</v>
      </c>
      <c r="H293" s="9" t="s">
        <v>33</v>
      </c>
      <c r="I293" s="9" t="s">
        <v>30</v>
      </c>
      <c r="J293" s="2" t="s">
        <v>22</v>
      </c>
      <c r="K293" s="2" t="s">
        <v>33</v>
      </c>
      <c r="L293" s="2" t="s">
        <v>24</v>
      </c>
      <c r="M293" s="2" t="s">
        <v>31</v>
      </c>
      <c r="N293" s="2" t="s">
        <v>289</v>
      </c>
      <c r="O293">
        <v>127</v>
      </c>
      <c r="P293" t="s">
        <v>162</v>
      </c>
      <c r="Q293" t="str">
        <f>_xlfn.XLOOKUP(C:C,'[1]ErberthPereira-targetlist(20260'!$D:$D,'[1]ErberthPereira-targetlist(20260'!$C:$C)</f>
        <v>350218700147345</v>
      </c>
    </row>
    <row r="294" spans="3:17" x14ac:dyDescent="0.3">
      <c r="C294" s="2" t="s">
        <v>702</v>
      </c>
      <c r="D294" s="2">
        <v>2025</v>
      </c>
      <c r="E294" s="2" t="s">
        <v>697</v>
      </c>
      <c r="F294" s="2" t="s">
        <v>159</v>
      </c>
      <c r="G294" s="2" t="s">
        <v>214</v>
      </c>
      <c r="H294" s="9" t="s">
        <v>703</v>
      </c>
      <c r="I294" s="9" t="s">
        <v>30</v>
      </c>
      <c r="J294" s="2" t="s">
        <v>22</v>
      </c>
      <c r="K294" s="2" t="s">
        <v>23</v>
      </c>
      <c r="L294" s="2" t="s">
        <v>24</v>
      </c>
      <c r="M294" s="2" t="s">
        <v>31</v>
      </c>
      <c r="N294" s="2" t="s">
        <v>269</v>
      </c>
      <c r="O294">
        <v>127</v>
      </c>
      <c r="P294" t="s">
        <v>69</v>
      </c>
      <c r="Q294" t="str">
        <f>_xlfn.XLOOKUP(C:C,'[1]ErberthPereira-targetlist(20260'!$D:$D,'[1]ErberthPereira-targetlist(20260'!$C:$C)</f>
        <v>350218700256658</v>
      </c>
    </row>
    <row r="295" spans="3:17" x14ac:dyDescent="0.3">
      <c r="C295" s="2" t="s">
        <v>704</v>
      </c>
      <c r="D295" s="2">
        <v>2025</v>
      </c>
      <c r="E295" s="2" t="s">
        <v>697</v>
      </c>
      <c r="F295" s="2" t="s">
        <v>159</v>
      </c>
      <c r="G295" s="2" t="s">
        <v>214</v>
      </c>
      <c r="H295" s="9" t="s">
        <v>705</v>
      </c>
      <c r="I295" s="9" t="s">
        <v>166</v>
      </c>
      <c r="J295" s="2" t="s">
        <v>80</v>
      </c>
      <c r="K295" s="2" t="s">
        <v>23</v>
      </c>
      <c r="L295" s="2" t="s">
        <v>24</v>
      </c>
      <c r="M295" s="2" t="s">
        <v>106</v>
      </c>
      <c r="N295" s="2" t="s">
        <v>269</v>
      </c>
      <c r="O295" s="10">
        <v>169</v>
      </c>
      <c r="P295" t="s">
        <v>285</v>
      </c>
      <c r="Q295" t="str">
        <f>_xlfn.XLOOKUP(C:C,'[1]ErberthPereira-targetlist(20260'!$D:$D,'[1]ErberthPereira-targetlist(20260'!$C:$C)</f>
        <v>350218700192523</v>
      </c>
    </row>
    <row r="296" spans="3:17" x14ac:dyDescent="0.3">
      <c r="C296" s="2" t="s">
        <v>706</v>
      </c>
      <c r="D296" s="2">
        <v>2025</v>
      </c>
      <c r="E296" s="2" t="s">
        <v>697</v>
      </c>
      <c r="F296" s="2" t="s">
        <v>159</v>
      </c>
      <c r="G296" s="2" t="s">
        <v>214</v>
      </c>
      <c r="H296" s="9" t="s">
        <v>707</v>
      </c>
      <c r="I296" s="9" t="s">
        <v>39</v>
      </c>
      <c r="J296" s="2" t="s">
        <v>34</v>
      </c>
      <c r="K296" s="2" t="s">
        <v>23</v>
      </c>
      <c r="L296" s="2" t="s">
        <v>41</v>
      </c>
      <c r="M296" s="2" t="s">
        <v>42</v>
      </c>
      <c r="N296" s="2" t="s">
        <v>606</v>
      </c>
      <c r="O296" s="10">
        <v>169</v>
      </c>
      <c r="P296" t="s">
        <v>44</v>
      </c>
      <c r="Q296" t="str">
        <f>_xlfn.XLOOKUP(C:C,'[1]ErberthPereira-targetlist(20260'!$D:$D,'[1]ErberthPereira-targetlist(20260'!$C:$C)</f>
        <v>350218700145760</v>
      </c>
    </row>
    <row r="297" spans="3:17" x14ac:dyDescent="0.3">
      <c r="C297" s="2" t="s">
        <v>708</v>
      </c>
      <c r="D297" s="2">
        <v>2025</v>
      </c>
      <c r="E297" s="2" t="s">
        <v>697</v>
      </c>
      <c r="F297" s="2" t="s">
        <v>159</v>
      </c>
      <c r="G297" s="2" t="s">
        <v>214</v>
      </c>
      <c r="H297" s="9" t="s">
        <v>33</v>
      </c>
      <c r="I297" s="9" t="s">
        <v>47</v>
      </c>
      <c r="J297" s="2" t="s">
        <v>34</v>
      </c>
      <c r="K297" s="2" t="s">
        <v>33</v>
      </c>
      <c r="L297" s="2" t="s">
        <v>24</v>
      </c>
      <c r="M297" s="2" t="s">
        <v>31</v>
      </c>
      <c r="N297" s="2" t="s">
        <v>332</v>
      </c>
      <c r="O297">
        <v>127</v>
      </c>
      <c r="P297" t="s">
        <v>162</v>
      </c>
      <c r="Q297" t="str">
        <f>_xlfn.XLOOKUP(C:C,'[1]ErberthPereira-targetlist(20260'!$D:$D,'[1]ErberthPereira-targetlist(20260'!$C:$C)</f>
        <v>350218700102183</v>
      </c>
    </row>
    <row r="298" spans="3:17" x14ac:dyDescent="0.3">
      <c r="C298" s="2" t="s">
        <v>709</v>
      </c>
      <c r="D298" s="2">
        <v>2025</v>
      </c>
      <c r="E298" s="2" t="s">
        <v>236</v>
      </c>
      <c r="F298" s="2" t="s">
        <v>128</v>
      </c>
      <c r="G298" s="2" t="s">
        <v>19</v>
      </c>
      <c r="H298" s="9" t="s">
        <v>710</v>
      </c>
      <c r="I298" s="9" t="s">
        <v>199</v>
      </c>
      <c r="J298" s="2" t="s">
        <v>34</v>
      </c>
      <c r="K298" s="2" t="s">
        <v>23</v>
      </c>
      <c r="L298" s="2" t="s">
        <v>61</v>
      </c>
      <c r="M298" s="2" t="s">
        <v>74</v>
      </c>
      <c r="N298" s="2" t="s">
        <v>200</v>
      </c>
      <c r="O298">
        <v>127</v>
      </c>
      <c r="P298" t="s">
        <v>75</v>
      </c>
      <c r="Q298" t="str">
        <f>_xlfn.XLOOKUP(C:C,'[1]ErberthPereira-targetlist(20260'!$D:$D,'[1]ErberthPereira-targetlist(20260'!$C:$C)</f>
        <v>350218700276409</v>
      </c>
    </row>
    <row r="299" spans="3:17" x14ac:dyDescent="0.3">
      <c r="C299" s="2" t="s">
        <v>711</v>
      </c>
      <c r="D299" s="2">
        <v>2025</v>
      </c>
      <c r="E299" s="2" t="s">
        <v>697</v>
      </c>
      <c r="F299" s="2" t="s">
        <v>159</v>
      </c>
      <c r="G299" s="2" t="s">
        <v>214</v>
      </c>
      <c r="H299" s="9" t="s">
        <v>712</v>
      </c>
      <c r="I299" s="9" t="s">
        <v>47</v>
      </c>
      <c r="J299" s="2" t="s">
        <v>34</v>
      </c>
      <c r="K299" s="2" t="s">
        <v>23</v>
      </c>
      <c r="L299" s="2" t="s">
        <v>24</v>
      </c>
      <c r="M299" s="2" t="s">
        <v>31</v>
      </c>
      <c r="N299" s="2" t="s">
        <v>161</v>
      </c>
      <c r="O299">
        <v>127</v>
      </c>
      <c r="P299" t="s">
        <v>162</v>
      </c>
      <c r="Q299" t="str">
        <f>_xlfn.XLOOKUP(C:C,'[1]ErberthPereira-targetlist(20260'!$D:$D,'[1]ErberthPereira-targetlist(20260'!$C:$C)</f>
        <v>350218700145117</v>
      </c>
    </row>
    <row r="300" spans="3:17" x14ac:dyDescent="0.3">
      <c r="C300" s="2" t="s">
        <v>713</v>
      </c>
      <c r="D300" s="2">
        <v>2025</v>
      </c>
      <c r="E300" s="2" t="s">
        <v>697</v>
      </c>
      <c r="F300" s="2" t="s">
        <v>159</v>
      </c>
      <c r="G300" s="2" t="s">
        <v>214</v>
      </c>
      <c r="H300" s="9" t="s">
        <v>714</v>
      </c>
      <c r="I300" s="9" t="s">
        <v>166</v>
      </c>
      <c r="J300" s="2" t="s">
        <v>80</v>
      </c>
      <c r="K300" s="2" t="s">
        <v>23</v>
      </c>
      <c r="L300" s="2" t="s">
        <v>24</v>
      </c>
      <c r="M300" s="2" t="s">
        <v>106</v>
      </c>
      <c r="N300" s="2" t="s">
        <v>269</v>
      </c>
      <c r="O300" s="10">
        <v>169</v>
      </c>
      <c r="P300" t="s">
        <v>285</v>
      </c>
      <c r="Q300" t="str">
        <f>_xlfn.XLOOKUP(C:C,'[1]ErberthPereira-targetlist(20260'!$D:$D,'[1]ErberthPereira-targetlist(20260'!$C:$C)</f>
        <v>350218700001062</v>
      </c>
    </row>
    <row r="301" spans="3:17" x14ac:dyDescent="0.3">
      <c r="C301" s="2" t="s">
        <v>715</v>
      </c>
      <c r="D301" s="2">
        <v>2025</v>
      </c>
      <c r="E301" s="2" t="s">
        <v>697</v>
      </c>
      <c r="F301" s="2" t="s">
        <v>159</v>
      </c>
      <c r="G301" s="2" t="s">
        <v>214</v>
      </c>
      <c r="H301" s="9" t="s">
        <v>716</v>
      </c>
      <c r="I301" s="9" t="s">
        <v>142</v>
      </c>
      <c r="J301" s="2" t="s">
        <v>139</v>
      </c>
      <c r="K301" s="2" t="s">
        <v>23</v>
      </c>
      <c r="L301" s="2" t="s">
        <v>24</v>
      </c>
      <c r="M301" s="2" t="s">
        <v>31</v>
      </c>
      <c r="N301" s="2" t="s">
        <v>171</v>
      </c>
      <c r="O301">
        <v>127</v>
      </c>
      <c r="P301" t="s">
        <v>162</v>
      </c>
      <c r="Q301" t="str">
        <f>_xlfn.XLOOKUP(C:C,'[1]ErberthPereira-targetlist(20260'!$D:$D,'[1]ErberthPereira-targetlist(20260'!$C:$C)</f>
        <v>350218700164621</v>
      </c>
    </row>
    <row r="302" spans="3:17" x14ac:dyDescent="0.3">
      <c r="C302" s="2" t="s">
        <v>717</v>
      </c>
      <c r="D302" s="2">
        <v>2025</v>
      </c>
      <c r="E302" s="2" t="s">
        <v>697</v>
      </c>
      <c r="F302" s="2" t="s">
        <v>159</v>
      </c>
      <c r="G302" s="2" t="s">
        <v>214</v>
      </c>
      <c r="H302" s="9" t="s">
        <v>718</v>
      </c>
      <c r="I302" s="9" t="s">
        <v>170</v>
      </c>
      <c r="J302" s="2" t="s">
        <v>40</v>
      </c>
      <c r="K302" s="2" t="s">
        <v>23</v>
      </c>
      <c r="L302" s="2" t="s">
        <v>24</v>
      </c>
      <c r="M302" s="2" t="s">
        <v>106</v>
      </c>
      <c r="N302" s="2" t="s">
        <v>161</v>
      </c>
      <c r="O302" s="10">
        <v>169</v>
      </c>
      <c r="P302" t="s">
        <v>167</v>
      </c>
      <c r="Q302" t="str">
        <f>_xlfn.XLOOKUP(C:C,'[1]ErberthPereira-targetlist(20260'!$D:$D,'[1]ErberthPereira-targetlist(20260'!$C:$C)</f>
        <v>350218700195195</v>
      </c>
    </row>
    <row r="303" spans="3:17" x14ac:dyDescent="0.3">
      <c r="C303" s="2" t="s">
        <v>719</v>
      </c>
      <c r="D303" s="2">
        <v>2025</v>
      </c>
      <c r="E303" s="2" t="s">
        <v>697</v>
      </c>
      <c r="F303" s="2" t="s">
        <v>159</v>
      </c>
      <c r="G303" s="2" t="s">
        <v>214</v>
      </c>
      <c r="H303" s="9" t="s">
        <v>720</v>
      </c>
      <c r="I303" s="9" t="str">
        <f>_xlfn.XLOOKUP(C:C,'[2]Final 2'!$A:$A,'[2]Final 2'!$G:$G)</f>
        <v>DEILTON RIBEIRO</v>
      </c>
      <c r="J303" s="2" t="s">
        <v>34</v>
      </c>
      <c r="K303" s="2" t="s">
        <v>23</v>
      </c>
      <c r="L303" s="2" t="s">
        <v>24</v>
      </c>
      <c r="M303" s="2" t="s">
        <v>31</v>
      </c>
      <c r="N303" s="2" t="str">
        <f>_xlfn.XLOOKUP(C:C,'[2]Final 2'!$A:$A,'[2]Final 2'!$S:$S)</f>
        <v>Ligação Nova Multi 4x4</v>
      </c>
      <c r="O303">
        <v>127</v>
      </c>
      <c r="P303" t="s">
        <v>69</v>
      </c>
      <c r="Q303" t="str">
        <f>_xlfn.XLOOKUP(C:C,'[1]ErberthPereira-targetlist(20260'!$D:$D,'[1]ErberthPereira-targetlist(20260'!$C:$C)</f>
        <v>350218700155165</v>
      </c>
    </row>
    <row r="304" spans="3:17" x14ac:dyDescent="0.3">
      <c r="C304" s="2" t="s">
        <v>721</v>
      </c>
      <c r="D304" s="2">
        <v>2025</v>
      </c>
      <c r="E304" s="2" t="s">
        <v>697</v>
      </c>
      <c r="F304" s="2" t="s">
        <v>159</v>
      </c>
      <c r="G304" s="2" t="s">
        <v>214</v>
      </c>
      <c r="H304" s="9" t="s">
        <v>722</v>
      </c>
      <c r="I304" s="9" t="str">
        <f>_xlfn.XLOOKUP(C:C,'[2]Final 2'!$A:$A,'[2]Final 2'!$G:$G)</f>
        <v>DEILTON RIBEIRO</v>
      </c>
      <c r="J304" s="2" t="s">
        <v>34</v>
      </c>
      <c r="K304" s="2" t="s">
        <v>23</v>
      </c>
      <c r="L304" s="2" t="s">
        <v>24</v>
      </c>
      <c r="M304" s="2" t="s">
        <v>31</v>
      </c>
      <c r="N304" s="2" t="str">
        <f>_xlfn.XLOOKUP(C:C,'[2]Final 2'!$A:$A,'[2]Final 2'!$S:$S)</f>
        <v>Ligação Nova Multi 4x4</v>
      </c>
      <c r="O304">
        <v>127</v>
      </c>
      <c r="P304" t="s">
        <v>69</v>
      </c>
      <c r="Q304" t="str">
        <f>_xlfn.XLOOKUP(C:C,'[1]ErberthPereira-targetlist(20260'!$D:$D,'[1]ErberthPereira-targetlist(20260'!$C:$C)</f>
        <v>350218700005410</v>
      </c>
    </row>
    <row r="305" spans="3:17" x14ac:dyDescent="0.3">
      <c r="C305" s="2" t="s">
        <v>723</v>
      </c>
      <c r="D305" s="2">
        <v>2025</v>
      </c>
      <c r="E305" s="2" t="s">
        <v>697</v>
      </c>
      <c r="F305" s="2" t="s">
        <v>159</v>
      </c>
      <c r="G305" s="2" t="s">
        <v>214</v>
      </c>
      <c r="H305" s="9" t="s">
        <v>724</v>
      </c>
      <c r="I305" s="9" t="s">
        <v>39</v>
      </c>
      <c r="J305" s="2" t="s">
        <v>34</v>
      </c>
      <c r="K305" s="2" t="s">
        <v>23</v>
      </c>
      <c r="L305" s="2" t="s">
        <v>41</v>
      </c>
      <c r="M305" s="2" t="s">
        <v>42</v>
      </c>
      <c r="N305" s="2" t="s">
        <v>606</v>
      </c>
      <c r="O305" s="10">
        <v>169</v>
      </c>
      <c r="P305" t="s">
        <v>44</v>
      </c>
      <c r="Q305" t="str">
        <f>_xlfn.XLOOKUP(C:C,'[1]ErberthPereira-targetlist(20260'!$D:$D,'[1]ErberthPereira-targetlist(20260'!$C:$C)</f>
        <v>350218700211455</v>
      </c>
    </row>
    <row r="306" spans="3:17" x14ac:dyDescent="0.3">
      <c r="C306" s="2" t="s">
        <v>725</v>
      </c>
      <c r="D306" s="2">
        <v>2025</v>
      </c>
      <c r="E306" s="2" t="s">
        <v>697</v>
      </c>
      <c r="F306" s="2" t="s">
        <v>159</v>
      </c>
      <c r="G306" s="2" t="s">
        <v>214</v>
      </c>
      <c r="H306" s="9" t="s">
        <v>726</v>
      </c>
      <c r="I306" s="9" t="s">
        <v>30</v>
      </c>
      <c r="J306" s="2" t="s">
        <v>22</v>
      </c>
      <c r="K306" s="2" t="s">
        <v>23</v>
      </c>
      <c r="L306" s="2" t="s">
        <v>24</v>
      </c>
      <c r="M306" s="2" t="s">
        <v>31</v>
      </c>
      <c r="N306" s="2" t="s">
        <v>161</v>
      </c>
      <c r="O306">
        <v>127</v>
      </c>
      <c r="P306" t="s">
        <v>162</v>
      </c>
      <c r="Q306" t="str">
        <f>_xlfn.XLOOKUP(C:C,'[1]ErberthPereira-targetlist(20260'!$D:$D,'[1]ErberthPereira-targetlist(20260'!$C:$C)</f>
        <v>350218700192051</v>
      </c>
    </row>
    <row r="307" spans="3:17" x14ac:dyDescent="0.3">
      <c r="C307" s="2" t="s">
        <v>727</v>
      </c>
      <c r="D307" s="2">
        <v>2025</v>
      </c>
      <c r="E307" s="2" t="s">
        <v>697</v>
      </c>
      <c r="F307" s="2" t="s">
        <v>159</v>
      </c>
      <c r="G307" s="2" t="s">
        <v>214</v>
      </c>
      <c r="H307" s="9" t="s">
        <v>728</v>
      </c>
      <c r="I307" s="9" t="str">
        <f>_xlfn.XLOOKUP(C:C,'[2]Final 2'!$A:$A,'[2]Final 2'!$G:$G)</f>
        <v>DEILTON RIBEIRO</v>
      </c>
      <c r="J307" s="2" t="s">
        <v>34</v>
      </c>
      <c r="K307" s="2" t="s">
        <v>23</v>
      </c>
      <c r="L307" s="2" t="s">
        <v>24</v>
      </c>
      <c r="M307" s="2" t="s">
        <v>31</v>
      </c>
      <c r="N307" s="2" t="str">
        <f>_xlfn.XLOOKUP(C:C,'[2]Final 2'!$A:$A,'[2]Final 2'!$S:$S)</f>
        <v>Plantão Leve 8 Horas Trio Carro leve</v>
      </c>
      <c r="O307">
        <v>127</v>
      </c>
      <c r="P307" t="s">
        <v>162</v>
      </c>
      <c r="Q307" t="str">
        <f>_xlfn.XLOOKUP(C:C,'[1]ErberthPereira-targetlist(20260'!$D:$D,'[1]ErberthPereira-targetlist(20260'!$C:$C)</f>
        <v>350218700016821</v>
      </c>
    </row>
    <row r="308" spans="3:17" x14ac:dyDescent="0.3">
      <c r="C308" s="2" t="s">
        <v>729</v>
      </c>
      <c r="D308" s="2">
        <v>2025</v>
      </c>
      <c r="E308" s="2" t="s">
        <v>697</v>
      </c>
      <c r="F308" s="2" t="s">
        <v>159</v>
      </c>
      <c r="G308" s="2" t="s">
        <v>214</v>
      </c>
      <c r="H308" s="9" t="s">
        <v>33</v>
      </c>
      <c r="I308" s="9" t="s">
        <v>142</v>
      </c>
      <c r="J308" s="2" t="s">
        <v>139</v>
      </c>
      <c r="K308" s="2" t="s">
        <v>33</v>
      </c>
      <c r="L308" s="2" t="s">
        <v>24</v>
      </c>
      <c r="M308" s="2" t="s">
        <v>31</v>
      </c>
      <c r="N308" s="2" t="s">
        <v>289</v>
      </c>
      <c r="O308">
        <v>127</v>
      </c>
      <c r="P308" t="s">
        <v>162</v>
      </c>
      <c r="Q308" t="str">
        <f>_xlfn.XLOOKUP(C:C,'[1]ErberthPereira-targetlist(20260'!$D:$D,'[1]ErberthPereira-targetlist(20260'!$C:$C)</f>
        <v>350218700276144</v>
      </c>
    </row>
    <row r="309" spans="3:17" x14ac:dyDescent="0.3">
      <c r="C309" s="2" t="s">
        <v>730</v>
      </c>
      <c r="D309" s="2">
        <v>2025</v>
      </c>
      <c r="E309" s="2" t="s">
        <v>697</v>
      </c>
      <c r="F309" s="2" t="s">
        <v>159</v>
      </c>
      <c r="G309" s="2" t="s">
        <v>214</v>
      </c>
      <c r="H309" s="9" t="s">
        <v>731</v>
      </c>
      <c r="I309" s="9" t="s">
        <v>47</v>
      </c>
      <c r="J309" s="2" t="s">
        <v>34</v>
      </c>
      <c r="K309" s="2" t="s">
        <v>23</v>
      </c>
      <c r="L309" s="2" t="s">
        <v>24</v>
      </c>
      <c r="M309" s="2" t="s">
        <v>31</v>
      </c>
      <c r="N309" s="2" t="s">
        <v>161</v>
      </c>
      <c r="O309">
        <v>127</v>
      </c>
      <c r="P309" t="s">
        <v>162</v>
      </c>
      <c r="Q309" t="str">
        <f>_xlfn.XLOOKUP(C:C,'[1]ErberthPereira-targetlist(20260'!$D:$D,'[1]ErberthPereira-targetlist(20260'!$C:$C)</f>
        <v>350218700132487</v>
      </c>
    </row>
    <row r="310" spans="3:17" x14ac:dyDescent="0.3">
      <c r="C310" s="2" t="s">
        <v>732</v>
      </c>
      <c r="D310" s="2">
        <v>2025</v>
      </c>
      <c r="E310" s="2" t="s">
        <v>697</v>
      </c>
      <c r="F310" s="2" t="s">
        <v>159</v>
      </c>
      <c r="G310" s="2" t="s">
        <v>214</v>
      </c>
      <c r="H310" s="9" t="s">
        <v>33</v>
      </c>
      <c r="I310" s="9" t="s">
        <v>170</v>
      </c>
      <c r="J310" s="2" t="s">
        <v>40</v>
      </c>
      <c r="K310" s="2" t="s">
        <v>33</v>
      </c>
      <c r="L310" s="2" t="s">
        <v>24</v>
      </c>
      <c r="M310" s="2" t="s">
        <v>106</v>
      </c>
      <c r="N310" s="2" t="s">
        <v>289</v>
      </c>
      <c r="O310" s="10">
        <v>169</v>
      </c>
      <c r="P310" t="s">
        <v>167</v>
      </c>
      <c r="Q310" t="str">
        <f>_xlfn.XLOOKUP(C:C,'[1]ErberthPereira-targetlist(20260'!$D:$D,'[1]ErberthPereira-targetlist(20260'!$C:$C)</f>
        <v>350218700010543</v>
      </c>
    </row>
    <row r="311" spans="3:17" x14ac:dyDescent="0.3">
      <c r="C311" s="2" t="s">
        <v>733</v>
      </c>
      <c r="D311" s="2">
        <v>2025</v>
      </c>
      <c r="E311" s="2" t="s">
        <v>697</v>
      </c>
      <c r="F311" s="2" t="s">
        <v>159</v>
      </c>
      <c r="G311" s="2" t="s">
        <v>214</v>
      </c>
      <c r="H311" s="9" t="s">
        <v>734</v>
      </c>
      <c r="I311" s="9" t="s">
        <v>166</v>
      </c>
      <c r="J311" s="2" t="s">
        <v>80</v>
      </c>
      <c r="K311" s="2" t="s">
        <v>23</v>
      </c>
      <c r="L311" s="2" t="s">
        <v>24</v>
      </c>
      <c r="M311" s="2" t="s">
        <v>106</v>
      </c>
      <c r="N311" s="2" t="s">
        <v>269</v>
      </c>
      <c r="O311" s="10">
        <v>169</v>
      </c>
      <c r="P311" t="s">
        <v>285</v>
      </c>
      <c r="Q311" t="str">
        <f>_xlfn.XLOOKUP(C:C,'[1]ErberthPereira-targetlist(20260'!$D:$D,'[1]ErberthPereira-targetlist(20260'!$C:$C)</f>
        <v>350218700112018</v>
      </c>
    </row>
    <row r="312" spans="3:17" x14ac:dyDescent="0.3">
      <c r="C312" s="2" t="s">
        <v>735</v>
      </c>
      <c r="D312" s="2">
        <v>2025</v>
      </c>
      <c r="E312" s="2" t="s">
        <v>697</v>
      </c>
      <c r="F312" s="2" t="s">
        <v>159</v>
      </c>
      <c r="G312" s="2" t="s">
        <v>214</v>
      </c>
      <c r="H312" s="9" t="s">
        <v>736</v>
      </c>
      <c r="I312" s="9" t="s">
        <v>170</v>
      </c>
      <c r="J312" s="2" t="s">
        <v>40</v>
      </c>
      <c r="K312" s="2" t="s">
        <v>23</v>
      </c>
      <c r="L312" s="2" t="s">
        <v>24</v>
      </c>
      <c r="M312" s="2" t="s">
        <v>106</v>
      </c>
      <c r="N312" s="2" t="s">
        <v>269</v>
      </c>
      <c r="O312" s="10">
        <v>169</v>
      </c>
      <c r="P312" t="s">
        <v>285</v>
      </c>
      <c r="Q312" t="str">
        <f>_xlfn.XLOOKUP(C:C,'[1]ErberthPereira-targetlist(20260'!$D:$D,'[1]ErberthPereira-targetlist(20260'!$C:$C)</f>
        <v>350218700175791</v>
      </c>
    </row>
    <row r="313" spans="3:17" x14ac:dyDescent="0.3">
      <c r="C313" s="2" t="s">
        <v>737</v>
      </c>
      <c r="D313" s="2">
        <v>2025</v>
      </c>
      <c r="E313" s="2" t="s">
        <v>697</v>
      </c>
      <c r="F313" s="2" t="s">
        <v>159</v>
      </c>
      <c r="G313" s="2" t="s">
        <v>214</v>
      </c>
      <c r="H313" s="9" t="s">
        <v>33</v>
      </c>
      <c r="I313" s="9" t="s">
        <v>170</v>
      </c>
      <c r="J313" s="2" t="s">
        <v>40</v>
      </c>
      <c r="K313" s="2" t="s">
        <v>33</v>
      </c>
      <c r="L313" s="2" t="s">
        <v>24</v>
      </c>
      <c r="M313" s="2" t="s">
        <v>106</v>
      </c>
      <c r="N313" s="2" t="s">
        <v>332</v>
      </c>
      <c r="O313" s="10">
        <v>169</v>
      </c>
      <c r="P313" t="s">
        <v>167</v>
      </c>
      <c r="Q313" t="str">
        <f>_xlfn.XLOOKUP(C:C,'[1]ErberthPereira-targetlist(20260'!$D:$D,'[1]ErberthPereira-targetlist(20260'!$C:$C)</f>
        <v>350218700223591</v>
      </c>
    </row>
    <row r="314" spans="3:17" x14ac:dyDescent="0.3">
      <c r="C314" s="2" t="s">
        <v>738</v>
      </c>
      <c r="D314" s="2">
        <v>2025</v>
      </c>
      <c r="E314" s="2" t="s">
        <v>697</v>
      </c>
      <c r="F314" s="2" t="s">
        <v>159</v>
      </c>
      <c r="G314" s="2" t="s">
        <v>214</v>
      </c>
      <c r="H314" s="9" t="s">
        <v>739</v>
      </c>
      <c r="I314" s="9" t="s">
        <v>47</v>
      </c>
      <c r="J314" s="2" t="s">
        <v>34</v>
      </c>
      <c r="K314" s="2" t="s">
        <v>23</v>
      </c>
      <c r="L314" s="2" t="s">
        <v>24</v>
      </c>
      <c r="M314" s="2" t="s">
        <v>31</v>
      </c>
      <c r="N314" s="2" t="s">
        <v>161</v>
      </c>
      <c r="O314">
        <v>127</v>
      </c>
      <c r="P314" t="s">
        <v>162</v>
      </c>
      <c r="Q314" t="str">
        <f>_xlfn.XLOOKUP(C:C,'[1]ErberthPereira-targetlist(20260'!$D:$D,'[1]ErberthPereira-targetlist(20260'!$C:$C)</f>
        <v>350218700192366</v>
      </c>
    </row>
    <row r="315" spans="3:17" x14ac:dyDescent="0.3">
      <c r="C315" s="2" t="s">
        <v>740</v>
      </c>
      <c r="D315" s="2">
        <v>2025</v>
      </c>
      <c r="E315" s="2" t="s">
        <v>697</v>
      </c>
      <c r="F315" s="2" t="s">
        <v>159</v>
      </c>
      <c r="G315" s="2" t="s">
        <v>214</v>
      </c>
      <c r="H315" s="9" t="s">
        <v>741</v>
      </c>
      <c r="I315" s="9" t="s">
        <v>142</v>
      </c>
      <c r="J315" s="2" t="s">
        <v>139</v>
      </c>
      <c r="K315" s="2" t="s">
        <v>23</v>
      </c>
      <c r="L315" s="2" t="s">
        <v>24</v>
      </c>
      <c r="M315" s="2" t="s">
        <v>31</v>
      </c>
      <c r="N315" s="2" t="s">
        <v>269</v>
      </c>
      <c r="O315">
        <v>127</v>
      </c>
      <c r="P315" t="s">
        <v>69</v>
      </c>
      <c r="Q315" t="str">
        <f>_xlfn.XLOOKUP(C:C,'[1]ErberthPereira-targetlist(20260'!$D:$D,'[1]ErberthPereira-targetlist(20260'!$C:$C)</f>
        <v>350218700150760</v>
      </c>
    </row>
    <row r="316" spans="3:17" x14ac:dyDescent="0.3">
      <c r="C316" s="2" t="s">
        <v>742</v>
      </c>
      <c r="D316" s="2">
        <v>2025</v>
      </c>
      <c r="E316" s="2" t="s">
        <v>697</v>
      </c>
      <c r="F316" s="2" t="s">
        <v>159</v>
      </c>
      <c r="G316" s="2" t="s">
        <v>214</v>
      </c>
      <c r="H316" s="9" t="s">
        <v>576</v>
      </c>
      <c r="I316" s="9" t="s">
        <v>199</v>
      </c>
      <c r="J316" s="2" t="s">
        <v>34</v>
      </c>
      <c r="K316" s="2" t="s">
        <v>23</v>
      </c>
      <c r="L316" s="2" t="s">
        <v>61</v>
      </c>
      <c r="M316" s="2" t="s">
        <v>74</v>
      </c>
      <c r="N316" s="2" t="s">
        <v>356</v>
      </c>
      <c r="O316">
        <v>127</v>
      </c>
      <c r="P316" t="s">
        <v>75</v>
      </c>
      <c r="Q316" t="str">
        <f>_xlfn.XLOOKUP(C:C,'[1]ErberthPereira-targetlist(20260'!$D:$D,'[1]ErberthPereira-targetlist(20260'!$C:$C)</f>
        <v>350218700186350</v>
      </c>
    </row>
    <row r="317" spans="3:17" x14ac:dyDescent="0.3">
      <c r="C317" s="2" t="s">
        <v>743</v>
      </c>
      <c r="D317" s="2">
        <v>2025</v>
      </c>
      <c r="E317" s="2" t="s">
        <v>236</v>
      </c>
      <c r="F317" s="2" t="s">
        <v>128</v>
      </c>
      <c r="G317" s="2" t="s">
        <v>19</v>
      </c>
      <c r="H317" s="9" t="s">
        <v>744</v>
      </c>
      <c r="I317" s="9" t="s">
        <v>130</v>
      </c>
      <c r="J317" s="2" t="s">
        <v>80</v>
      </c>
      <c r="K317" s="2" t="s">
        <v>23</v>
      </c>
      <c r="L317" s="2" t="s">
        <v>61</v>
      </c>
      <c r="M317" s="2" t="s">
        <v>62</v>
      </c>
      <c r="N317" s="2" t="s">
        <v>200</v>
      </c>
      <c r="O317" s="10">
        <v>169</v>
      </c>
      <c r="P317" t="s">
        <v>64</v>
      </c>
      <c r="Q317" t="str">
        <f>_xlfn.XLOOKUP(C:C,'[1]ErberthPereira-targetlist(20260'!$D:$D,'[1]ErberthPereira-targetlist(20260'!$C:$C)</f>
        <v>350218700103561</v>
      </c>
    </row>
    <row r="318" spans="3:17" x14ac:dyDescent="0.3">
      <c r="C318" s="2" t="s">
        <v>745</v>
      </c>
      <c r="D318" s="2">
        <v>2020</v>
      </c>
      <c r="E318" s="2" t="s">
        <v>17</v>
      </c>
      <c r="F318" s="2" t="s">
        <v>18</v>
      </c>
      <c r="G318" s="2" t="s">
        <v>19</v>
      </c>
      <c r="H318" s="9" t="s">
        <v>59</v>
      </c>
      <c r="I318" s="9" t="s">
        <v>746</v>
      </c>
      <c r="J318" s="2" t="s">
        <v>34</v>
      </c>
      <c r="K318" s="2" t="s">
        <v>23</v>
      </c>
      <c r="L318" s="2" t="s">
        <v>61</v>
      </c>
      <c r="M318" s="2" t="s">
        <v>74</v>
      </c>
      <c r="N318" s="2" t="s">
        <v>356</v>
      </c>
      <c r="O318">
        <v>127</v>
      </c>
      <c r="P318" t="s">
        <v>75</v>
      </c>
      <c r="Q318" t="str">
        <f>_xlfn.XLOOKUP(C:C,'[1]ErberthPereira-targetlist(20260'!$D:$D,'[1]ErberthPereira-targetlist(20260'!$C:$C)</f>
        <v>350218700139094</v>
      </c>
    </row>
    <row r="319" spans="3:17" x14ac:dyDescent="0.3">
      <c r="C319" s="2" t="s">
        <v>747</v>
      </c>
      <c r="D319" s="2">
        <v>2025</v>
      </c>
      <c r="E319" s="2" t="s">
        <v>236</v>
      </c>
      <c r="F319" s="2" t="s">
        <v>128</v>
      </c>
      <c r="G319" s="2" t="s">
        <v>19</v>
      </c>
      <c r="H319" s="9" t="s">
        <v>748</v>
      </c>
      <c r="I319" s="9" t="s">
        <v>196</v>
      </c>
      <c r="J319" s="2" t="s">
        <v>40</v>
      </c>
      <c r="K319" s="2" t="s">
        <v>23</v>
      </c>
      <c r="L319" s="2" t="s">
        <v>61</v>
      </c>
      <c r="M319" s="2" t="s">
        <v>62</v>
      </c>
      <c r="N319" s="2" t="s">
        <v>200</v>
      </c>
      <c r="O319">
        <v>169</v>
      </c>
      <c r="P319" t="s">
        <v>64</v>
      </c>
      <c r="Q319" t="e">
        <f>_xlfn.XLOOKUP(C:C,'[1]ErberthPereira-targetlist(20260'!$D:$D,'[1]ErberthPereira-targetlist(20260'!$C:$C)</f>
        <v>#N/A</v>
      </c>
    </row>
    <row r="320" spans="3:17" x14ac:dyDescent="0.3">
      <c r="C320" s="2" t="s">
        <v>749</v>
      </c>
      <c r="D320" s="2">
        <v>2025</v>
      </c>
      <c r="E320" s="2" t="s">
        <v>236</v>
      </c>
      <c r="F320" s="2" t="s">
        <v>128</v>
      </c>
      <c r="G320" s="2" t="s">
        <v>19</v>
      </c>
      <c r="H320" s="9" t="s">
        <v>750</v>
      </c>
      <c r="I320" s="9" t="s">
        <v>500</v>
      </c>
      <c r="J320" s="2" t="s">
        <v>22</v>
      </c>
      <c r="K320" s="2" t="s">
        <v>23</v>
      </c>
      <c r="L320" s="2" t="s">
        <v>61</v>
      </c>
      <c r="M320" s="2" t="s">
        <v>74</v>
      </c>
      <c r="N320" s="2" t="s">
        <v>750</v>
      </c>
      <c r="O320">
        <v>127</v>
      </c>
      <c r="P320" t="s">
        <v>75</v>
      </c>
      <c r="Q320" t="e">
        <f>_xlfn.XLOOKUP(C:C,'[1]ErberthPereira-targetlist(20260'!$D:$D,'[1]ErberthPereira-targetlist(20260'!$C:$C)</f>
        <v>#N/A</v>
      </c>
    </row>
    <row r="321" spans="3:17" x14ac:dyDescent="0.3">
      <c r="C321" s="2" t="s">
        <v>751</v>
      </c>
      <c r="D321" s="2">
        <v>2025</v>
      </c>
      <c r="E321" s="2" t="s">
        <v>236</v>
      </c>
      <c r="F321" s="2" t="s">
        <v>128</v>
      </c>
      <c r="G321" s="2" t="s">
        <v>19</v>
      </c>
      <c r="H321" s="9" t="s">
        <v>750</v>
      </c>
      <c r="I321" s="9" t="s">
        <v>500</v>
      </c>
      <c r="J321" s="2" t="s">
        <v>22</v>
      </c>
      <c r="K321" s="2" t="s">
        <v>23</v>
      </c>
      <c r="L321" s="2" t="s">
        <v>61</v>
      </c>
      <c r="M321" s="2" t="s">
        <v>74</v>
      </c>
      <c r="N321" s="2" t="s">
        <v>750</v>
      </c>
      <c r="O321">
        <v>127</v>
      </c>
      <c r="P321" t="s">
        <v>75</v>
      </c>
      <c r="Q321" t="e">
        <f>_xlfn.XLOOKUP(C:C,'[1]ErberthPereira-targetlist(20260'!$D:$D,'[1]ErberthPereira-targetlist(20260'!$C:$C)</f>
        <v>#N/A</v>
      </c>
    </row>
    <row r="322" spans="3:17" x14ac:dyDescent="0.3">
      <c r="C322" s="2" t="s">
        <v>752</v>
      </c>
      <c r="D322" s="2">
        <v>2025</v>
      </c>
      <c r="E322" s="2" t="s">
        <v>236</v>
      </c>
      <c r="F322" s="2" t="s">
        <v>128</v>
      </c>
      <c r="G322" s="2" t="s">
        <v>19</v>
      </c>
      <c r="H322" s="9" t="s">
        <v>750</v>
      </c>
      <c r="I322" s="9" t="s">
        <v>130</v>
      </c>
      <c r="J322" s="2" t="s">
        <v>80</v>
      </c>
      <c r="K322" s="2" t="s">
        <v>23</v>
      </c>
      <c r="L322" s="2" t="s">
        <v>61</v>
      </c>
      <c r="M322" s="2" t="s">
        <v>62</v>
      </c>
      <c r="N322" s="2" t="s">
        <v>750</v>
      </c>
      <c r="O322">
        <v>169</v>
      </c>
      <c r="P322" t="s">
        <v>64</v>
      </c>
      <c r="Q322" t="e">
        <f>_xlfn.XLOOKUP(C:C,'[1]ErberthPereira-targetlist(20260'!$D:$D,'[1]ErberthPereira-targetlist(20260'!$C:$C)</f>
        <v>#N/A</v>
      </c>
    </row>
    <row r="323" spans="3:17" x14ac:dyDescent="0.3">
      <c r="C323" s="2" t="s">
        <v>753</v>
      </c>
      <c r="D323" s="2">
        <v>2025</v>
      </c>
      <c r="E323" s="2" t="s">
        <v>236</v>
      </c>
      <c r="F323" s="2" t="s">
        <v>128</v>
      </c>
      <c r="G323" s="2" t="s">
        <v>19</v>
      </c>
      <c r="H323" s="9" t="s">
        <v>33</v>
      </c>
      <c r="I323" s="9" t="s">
        <v>186</v>
      </c>
      <c r="J323" s="2" t="s">
        <v>139</v>
      </c>
      <c r="K323" s="2" t="s">
        <v>33</v>
      </c>
      <c r="L323" s="2" t="s">
        <v>61</v>
      </c>
      <c r="M323" s="2" t="s">
        <v>74</v>
      </c>
      <c r="N323" s="2" t="s">
        <v>259</v>
      </c>
      <c r="O323">
        <v>127</v>
      </c>
      <c r="P323" t="s">
        <v>75</v>
      </c>
      <c r="Q323" t="e">
        <f>_xlfn.XLOOKUP(C:C,'[1]ErberthPereira-targetlist(20260'!$D:$D,'[1]ErberthPereira-targetlist(20260'!$C:$C)</f>
        <v>#N/A</v>
      </c>
    </row>
    <row r="324" spans="3:17" x14ac:dyDescent="0.3">
      <c r="C324" s="2" t="s">
        <v>754</v>
      </c>
      <c r="D324" s="2">
        <v>2025</v>
      </c>
      <c r="E324" s="2" t="s">
        <v>236</v>
      </c>
      <c r="F324" s="2" t="s">
        <v>128</v>
      </c>
      <c r="G324" s="2" t="s">
        <v>19</v>
      </c>
      <c r="H324" s="9" t="s">
        <v>755</v>
      </c>
      <c r="I324" s="9" t="s">
        <v>130</v>
      </c>
      <c r="J324" s="2" t="s">
        <v>80</v>
      </c>
      <c r="K324" s="2" t="s">
        <v>23</v>
      </c>
      <c r="L324" s="2" t="s">
        <v>61</v>
      </c>
      <c r="M324" s="2" t="s">
        <v>62</v>
      </c>
      <c r="N324" s="2" t="s">
        <v>131</v>
      </c>
      <c r="O324">
        <v>169</v>
      </c>
      <c r="P324" t="s">
        <v>64</v>
      </c>
      <c r="Q324" t="e">
        <f>_xlfn.XLOOKUP(C:C,'[1]ErberthPereira-targetlist(20260'!$D:$D,'[1]ErberthPereira-targetlist(20260'!$C:$C)</f>
        <v>#N/A</v>
      </c>
    </row>
    <row r="325" spans="3:17" x14ac:dyDescent="0.3">
      <c r="C325" s="2" t="s">
        <v>756</v>
      </c>
      <c r="D325" s="2">
        <v>2025</v>
      </c>
      <c r="E325" s="2" t="s">
        <v>236</v>
      </c>
      <c r="F325" s="2" t="s">
        <v>128</v>
      </c>
      <c r="G325" s="2" t="s">
        <v>19</v>
      </c>
      <c r="H325" s="9" t="s">
        <v>750</v>
      </c>
      <c r="I325" s="9" t="s">
        <v>186</v>
      </c>
      <c r="J325" s="2" t="s">
        <v>139</v>
      </c>
      <c r="K325" s="2"/>
      <c r="L325" s="2"/>
      <c r="M325" s="2"/>
      <c r="N325" s="2" t="s">
        <v>750</v>
      </c>
      <c r="O325">
        <v>127</v>
      </c>
      <c r="P325" t="s">
        <v>75</v>
      </c>
      <c r="Q325" t="e">
        <f>_xlfn.XLOOKUP(C:C,'[1]ErberthPereira-targetlist(20260'!$D:$D,'[1]ErberthPereira-targetlist(20260'!$C:$C)</f>
        <v>#N/A</v>
      </c>
    </row>
    <row r="326" spans="3:17" x14ac:dyDescent="0.3">
      <c r="C326" s="2" t="s">
        <v>757</v>
      </c>
      <c r="D326" s="2">
        <v>2025</v>
      </c>
      <c r="E326" s="2" t="s">
        <v>236</v>
      </c>
      <c r="F326" s="2" t="s">
        <v>128</v>
      </c>
      <c r="G326" s="2" t="s">
        <v>19</v>
      </c>
      <c r="H326" s="9" t="s">
        <v>750</v>
      </c>
      <c r="I326" s="9" t="s">
        <v>130</v>
      </c>
      <c r="J326" s="2" t="s">
        <v>80</v>
      </c>
      <c r="K326" s="2" t="s">
        <v>23</v>
      </c>
      <c r="L326" s="2" t="s">
        <v>61</v>
      </c>
      <c r="M326" s="2" t="s">
        <v>62</v>
      </c>
      <c r="N326" s="2" t="s">
        <v>750</v>
      </c>
      <c r="O326">
        <v>170</v>
      </c>
      <c r="P326" t="s">
        <v>153</v>
      </c>
      <c r="Q326" t="e">
        <f>_xlfn.XLOOKUP(C:C,'[1]ErberthPereira-targetlist(20260'!$D:$D,'[1]ErberthPereira-targetlist(20260'!$C:$C)</f>
        <v>#N/A</v>
      </c>
    </row>
    <row r="327" spans="3:17" x14ac:dyDescent="0.3">
      <c r="C327" s="2" t="s">
        <v>758</v>
      </c>
      <c r="D327" s="2">
        <v>2025</v>
      </c>
      <c r="E327" s="2" t="s">
        <v>236</v>
      </c>
      <c r="F327" s="2" t="s">
        <v>128</v>
      </c>
      <c r="G327" s="2" t="s">
        <v>19</v>
      </c>
      <c r="H327" s="9" t="s">
        <v>750</v>
      </c>
      <c r="I327" s="9" t="s">
        <v>196</v>
      </c>
      <c r="J327" s="2" t="s">
        <v>40</v>
      </c>
      <c r="K327" s="2" t="s">
        <v>23</v>
      </c>
      <c r="L327" s="2" t="s">
        <v>61</v>
      </c>
      <c r="M327" s="2" t="s">
        <v>62</v>
      </c>
      <c r="N327" s="2" t="s">
        <v>750</v>
      </c>
      <c r="O327">
        <v>169</v>
      </c>
      <c r="P327" t="s">
        <v>64</v>
      </c>
      <c r="Q327" t="e">
        <f>_xlfn.XLOOKUP(C:C,'[1]ErberthPereira-targetlist(20260'!$D:$D,'[1]ErberthPereira-targetlist(20260'!$C:$C)</f>
        <v>#N/A</v>
      </c>
    </row>
    <row r="328" spans="3:17" x14ac:dyDescent="0.3">
      <c r="C328" s="2" t="s">
        <v>759</v>
      </c>
      <c r="D328" s="2">
        <v>2024</v>
      </c>
      <c r="E328" s="2" t="s">
        <v>164</v>
      </c>
      <c r="F328" s="2" t="s">
        <v>159</v>
      </c>
      <c r="G328" s="2" t="s">
        <v>19</v>
      </c>
      <c r="H328" s="9" t="s">
        <v>760</v>
      </c>
      <c r="I328" s="9" t="s">
        <v>166</v>
      </c>
      <c r="J328" s="2" t="s">
        <v>80</v>
      </c>
      <c r="K328" s="2" t="s">
        <v>23</v>
      </c>
      <c r="L328" s="2" t="s">
        <v>24</v>
      </c>
      <c r="M328" s="2" t="s">
        <v>106</v>
      </c>
      <c r="N328" s="2" t="s">
        <v>761</v>
      </c>
      <c r="O328">
        <v>169</v>
      </c>
      <c r="P328" t="s">
        <v>167</v>
      </c>
      <c r="Q328" t="e">
        <f>_xlfn.XLOOKUP(C:C,'[1]ErberthPereira-targetlist(20260'!$D:$D,'[1]ErberthPereira-targetlist(20260'!$C:$C)</f>
        <v>#N/A</v>
      </c>
    </row>
    <row r="329" spans="3:17" x14ac:dyDescent="0.3">
      <c r="C329" s="2" t="s">
        <v>762</v>
      </c>
      <c r="D329" s="2">
        <v>2025</v>
      </c>
      <c r="E329" s="2" t="s">
        <v>164</v>
      </c>
      <c r="F329" s="2" t="s">
        <v>159</v>
      </c>
      <c r="G329" s="2" t="s">
        <v>19</v>
      </c>
      <c r="H329" s="9" t="s">
        <v>763</v>
      </c>
      <c r="I329" s="9" t="s">
        <v>47</v>
      </c>
      <c r="J329" s="2" t="s">
        <v>34</v>
      </c>
      <c r="K329" s="2" t="s">
        <v>23</v>
      </c>
      <c r="L329" s="2" t="s">
        <v>24</v>
      </c>
      <c r="M329" s="2" t="s">
        <v>31</v>
      </c>
      <c r="N329" s="2" t="s">
        <v>161</v>
      </c>
      <c r="O329">
        <v>127</v>
      </c>
      <c r="P329" t="s">
        <v>162</v>
      </c>
      <c r="Q329" t="e">
        <f>_xlfn.XLOOKUP(C:C,'[1]ErberthPereira-targetlist(20260'!$D:$D,'[1]ErberthPereira-targetlist(20260'!$C:$C)</f>
        <v>#N/A</v>
      </c>
    </row>
    <row r="330" spans="3:17" ht="13.2" customHeight="1" x14ac:dyDescent="0.3">
      <c r="C330" s="2" t="s">
        <v>764</v>
      </c>
      <c r="D330" s="2">
        <v>2023</v>
      </c>
      <c r="E330" s="2" t="s">
        <v>164</v>
      </c>
      <c r="F330" s="2" t="s">
        <v>159</v>
      </c>
      <c r="G330" s="2" t="s">
        <v>19</v>
      </c>
      <c r="H330" s="9" t="s">
        <v>765</v>
      </c>
      <c r="I330" s="9" t="s">
        <v>135</v>
      </c>
      <c r="J330" s="2" t="s">
        <v>34</v>
      </c>
      <c r="K330" s="2" t="s">
        <v>23</v>
      </c>
      <c r="L330" s="2" t="s">
        <v>24</v>
      </c>
      <c r="M330" s="2" t="s">
        <v>31</v>
      </c>
      <c r="N330" s="2" t="s">
        <v>171</v>
      </c>
      <c r="O330">
        <v>127</v>
      </c>
      <c r="P330" t="s">
        <v>162</v>
      </c>
      <c r="Q330" t="e">
        <f>_xlfn.XLOOKUP(C:C,'[1]ErberthPereira-targetlist(20260'!$D:$D,'[1]ErberthPereira-targetlist(20260'!$C:$C)</f>
        <v>#N/A</v>
      </c>
    </row>
    <row r="331" spans="3:17" x14ac:dyDescent="0.3">
      <c r="C331" s="2" t="s">
        <v>766</v>
      </c>
      <c r="D331" s="2">
        <v>2026</v>
      </c>
      <c r="E331" s="2" t="s">
        <v>767</v>
      </c>
      <c r="F331" s="2" t="s">
        <v>293</v>
      </c>
      <c r="G331" s="2" t="s">
        <v>19</v>
      </c>
      <c r="H331" s="9" t="s">
        <v>750</v>
      </c>
      <c r="I331" s="9"/>
      <c r="J331" s="2"/>
      <c r="K331" s="2"/>
      <c r="L331" s="2"/>
      <c r="M331" s="2"/>
      <c r="N331" s="2"/>
      <c r="Q331" t="e">
        <f>_xlfn.XLOOKUP(C:C,'[1]ErberthPereira-targetlist(20260'!$D:$D,'[1]ErberthPereira-targetlist(20260'!$C:$C)</f>
        <v>#N/A</v>
      </c>
    </row>
    <row r="332" spans="3:17" x14ac:dyDescent="0.3">
      <c r="C332" s="2" t="s">
        <v>768</v>
      </c>
      <c r="D332" s="2">
        <v>2026</v>
      </c>
      <c r="E332" s="2" t="s">
        <v>767</v>
      </c>
      <c r="F332" s="2" t="s">
        <v>293</v>
      </c>
      <c r="G332" s="2" t="s">
        <v>19</v>
      </c>
      <c r="H332" s="9" t="s">
        <v>750</v>
      </c>
      <c r="I332" s="9"/>
      <c r="J332" s="2"/>
      <c r="K332" s="2"/>
      <c r="L332" s="2"/>
      <c r="M332" s="2"/>
      <c r="N332" s="2"/>
      <c r="Q332" t="e">
        <f>_xlfn.XLOOKUP(C:C,'[1]ErberthPereira-targetlist(20260'!$D:$D,'[1]ErberthPereira-targetlist(20260'!$C:$C)</f>
        <v>#N/A</v>
      </c>
    </row>
    <row r="333" spans="3:17" x14ac:dyDescent="0.3">
      <c r="C333" s="2" t="s">
        <v>769</v>
      </c>
      <c r="D333" s="2">
        <v>2026</v>
      </c>
      <c r="E333" s="2" t="s">
        <v>767</v>
      </c>
      <c r="F333" s="2" t="s">
        <v>293</v>
      </c>
      <c r="G333" s="2" t="s">
        <v>19</v>
      </c>
      <c r="H333" s="9" t="s">
        <v>750</v>
      </c>
      <c r="I333" s="9"/>
      <c r="J333" s="2"/>
      <c r="K333" s="2"/>
      <c r="L333" s="2"/>
      <c r="M333" s="2"/>
      <c r="N333" s="2"/>
      <c r="Q333" t="e">
        <f>_xlfn.XLOOKUP(C:C,'[1]ErberthPereira-targetlist(20260'!$D:$D,'[1]ErberthPereira-targetlist(20260'!$C:$C)</f>
        <v>#N/A</v>
      </c>
    </row>
    <row r="334" spans="3:17" x14ac:dyDescent="0.3">
      <c r="C334" s="2" t="s">
        <v>770</v>
      </c>
      <c r="D334" s="2">
        <v>2026</v>
      </c>
      <c r="E334" s="2" t="s">
        <v>767</v>
      </c>
      <c r="F334" s="2" t="s">
        <v>293</v>
      </c>
      <c r="G334" s="2" t="s">
        <v>19</v>
      </c>
      <c r="H334" s="9" t="s">
        <v>771</v>
      </c>
      <c r="I334" s="9" t="s">
        <v>166</v>
      </c>
      <c r="J334" s="2"/>
      <c r="K334" s="2" t="s">
        <v>23</v>
      </c>
      <c r="L334" s="2" t="s">
        <v>24</v>
      </c>
      <c r="M334" s="2" t="s">
        <v>106</v>
      </c>
      <c r="N334" s="2"/>
      <c r="Q334" t="e">
        <f>_xlfn.XLOOKUP(C:C,'[1]ErberthPereira-targetlist(20260'!$D:$D,'[1]ErberthPereira-targetlist(20260'!$C:$C)</f>
        <v>#N/A</v>
      </c>
    </row>
    <row r="335" spans="3:17" x14ac:dyDescent="0.3">
      <c r="C335" s="2" t="s">
        <v>772</v>
      </c>
      <c r="D335" s="2">
        <v>2026</v>
      </c>
      <c r="E335" s="2" t="s">
        <v>767</v>
      </c>
      <c r="F335" s="2" t="s">
        <v>293</v>
      </c>
      <c r="G335" s="2" t="s">
        <v>19</v>
      </c>
      <c r="H335" s="9" t="s">
        <v>750</v>
      </c>
      <c r="I335" s="9"/>
      <c r="J335" s="2"/>
      <c r="K335" s="2"/>
      <c r="L335" s="2"/>
      <c r="M335" s="2"/>
      <c r="N335" s="2"/>
      <c r="Q335" t="e">
        <f>_xlfn.XLOOKUP(C:C,'[1]ErberthPereira-targetlist(20260'!$D:$D,'[1]ErberthPereira-targetlist(20260'!$C:$C)</f>
        <v>#N/A</v>
      </c>
    </row>
    <row r="336" spans="3:17" x14ac:dyDescent="0.3">
      <c r="C336" s="2" t="s">
        <v>773</v>
      </c>
      <c r="D336" s="2">
        <v>2026</v>
      </c>
      <c r="E336" s="2" t="s">
        <v>767</v>
      </c>
      <c r="F336" s="2" t="s">
        <v>293</v>
      </c>
      <c r="G336" s="2" t="s">
        <v>19</v>
      </c>
      <c r="H336" s="9" t="s">
        <v>771</v>
      </c>
      <c r="I336" s="9" t="s">
        <v>166</v>
      </c>
      <c r="J336" s="2"/>
      <c r="K336" s="2" t="s">
        <v>23</v>
      </c>
      <c r="L336" s="2" t="s">
        <v>24</v>
      </c>
      <c r="M336" s="2" t="s">
        <v>106</v>
      </c>
      <c r="N336" s="2"/>
      <c r="Q336" t="e">
        <f>_xlfn.XLOOKUP(C:C,'[1]ErberthPereira-targetlist(20260'!$D:$D,'[1]ErberthPereira-targetlist(20260'!$C:$C)</f>
        <v>#N/A</v>
      </c>
    </row>
    <row r="337" spans="3:17" x14ac:dyDescent="0.3">
      <c r="C337" s="2" t="s">
        <v>774</v>
      </c>
      <c r="D337" s="2">
        <v>2026</v>
      </c>
      <c r="E337" s="2" t="s">
        <v>767</v>
      </c>
      <c r="F337" s="2" t="s">
        <v>293</v>
      </c>
      <c r="G337" s="2" t="s">
        <v>19</v>
      </c>
      <c r="H337" s="9" t="s">
        <v>750</v>
      </c>
      <c r="I337" s="9"/>
      <c r="J337" s="2"/>
      <c r="K337" s="2"/>
      <c r="L337" s="2"/>
      <c r="M337" s="2"/>
      <c r="N337" s="2"/>
      <c r="Q337" t="e">
        <f>_xlfn.XLOOKUP(C:C,'[1]ErberthPereira-targetlist(20260'!$D:$D,'[1]ErberthPereira-targetlist(20260'!$C:$C)</f>
        <v>#N/A</v>
      </c>
    </row>
    <row r="338" spans="3:17" x14ac:dyDescent="0.3">
      <c r="C338" s="2" t="s">
        <v>775</v>
      </c>
      <c r="D338" s="2">
        <v>2026</v>
      </c>
      <c r="E338" s="2" t="s">
        <v>767</v>
      </c>
      <c r="F338" s="2" t="s">
        <v>293</v>
      </c>
      <c r="G338" s="2" t="s">
        <v>19</v>
      </c>
      <c r="H338" s="9" t="s">
        <v>750</v>
      </c>
      <c r="I338" s="9"/>
      <c r="J338" s="2"/>
      <c r="K338" s="2"/>
      <c r="L338" s="2"/>
      <c r="M338" s="2"/>
      <c r="N338" s="2"/>
      <c r="Q338" t="e">
        <f>_xlfn.XLOOKUP(C:C,'[1]ErberthPereira-targetlist(20260'!$D:$D,'[1]ErberthPereira-targetlist(20260'!$C:$C)</f>
        <v>#N/A</v>
      </c>
    </row>
    <row r="339" spans="3:17" x14ac:dyDescent="0.3">
      <c r="C339" s="2" t="s">
        <v>776</v>
      </c>
      <c r="D339" s="2">
        <v>2024</v>
      </c>
      <c r="E339" s="2" t="s">
        <v>777</v>
      </c>
      <c r="F339" s="2" t="s">
        <v>778</v>
      </c>
      <c r="G339" s="2" t="s">
        <v>19</v>
      </c>
      <c r="H339" s="9" t="s">
        <v>750</v>
      </c>
      <c r="I339" s="9"/>
      <c r="J339" s="2" t="s">
        <v>34</v>
      </c>
      <c r="K339" s="2"/>
      <c r="L339" s="2"/>
      <c r="M339" s="2"/>
      <c r="N339" s="2"/>
      <c r="Q339" t="e">
        <f>_xlfn.XLOOKUP(C:C,'[1]ErberthPereira-targetlist(20260'!$D:$D,'[1]ErberthPereira-targetlist(20260'!$C:$C)</f>
        <v>#N/A</v>
      </c>
    </row>
    <row r="340" spans="3:17" x14ac:dyDescent="0.3">
      <c r="C340" s="2" t="s">
        <v>779</v>
      </c>
      <c r="D340" s="2">
        <v>2024</v>
      </c>
      <c r="E340" s="2" t="s">
        <v>542</v>
      </c>
      <c r="F340" s="2" t="s">
        <v>128</v>
      </c>
      <c r="G340" s="2" t="s">
        <v>19</v>
      </c>
      <c r="H340" s="9" t="s">
        <v>750</v>
      </c>
      <c r="I340" s="9"/>
      <c r="J340" s="2"/>
      <c r="K340" s="2"/>
      <c r="L340" s="2"/>
      <c r="M340" s="2"/>
      <c r="N340" s="2"/>
      <c r="Q340" t="e">
        <f>_xlfn.XLOOKUP(C:C,'[1]ErberthPereira-targetlist(20260'!$D:$D,'[1]ErberthPereira-targetlist(20260'!$C:$C)</f>
        <v>#N/A</v>
      </c>
    </row>
    <row r="341" spans="3:17" x14ac:dyDescent="0.3">
      <c r="C341" s="2" t="s">
        <v>780</v>
      </c>
      <c r="D341" s="2">
        <v>2024</v>
      </c>
      <c r="E341" s="2" t="s">
        <v>542</v>
      </c>
      <c r="F341" s="2" t="s">
        <v>128</v>
      </c>
      <c r="G341" s="2" t="s">
        <v>19</v>
      </c>
      <c r="H341" s="9" t="s">
        <v>750</v>
      </c>
      <c r="I341" s="9"/>
      <c r="J341" s="2"/>
      <c r="K341" s="2"/>
      <c r="L341" s="2"/>
      <c r="M341" s="2"/>
      <c r="N341" s="2"/>
      <c r="Q341" t="e">
        <f>_xlfn.XLOOKUP(C:C,'[1]ErberthPereira-targetlist(20260'!$D:$D,'[1]ErberthPereira-targetlist(20260'!$C:$C)</f>
        <v>#N/A</v>
      </c>
    </row>
    <row r="342" spans="3:17" x14ac:dyDescent="0.3">
      <c r="C342" s="2" t="s">
        <v>781</v>
      </c>
      <c r="D342" s="2">
        <v>2024</v>
      </c>
      <c r="E342" s="2" t="s">
        <v>542</v>
      </c>
      <c r="F342" s="2" t="s">
        <v>128</v>
      </c>
      <c r="G342" s="2" t="s">
        <v>19</v>
      </c>
      <c r="H342" s="9" t="s">
        <v>750</v>
      </c>
      <c r="I342" s="9"/>
      <c r="J342" s="2"/>
      <c r="K342" s="2"/>
      <c r="L342" s="2"/>
      <c r="M342" s="2"/>
      <c r="N342" s="2"/>
      <c r="Q342" t="e">
        <f>_xlfn.XLOOKUP(C:C,'[1]ErberthPereira-targetlist(20260'!$D:$D,'[1]ErberthPereira-targetlist(20260'!$C:$C)</f>
        <v>#N/A</v>
      </c>
    </row>
    <row r="343" spans="3:17" x14ac:dyDescent="0.3">
      <c r="C343" s="2" t="s">
        <v>782</v>
      </c>
      <c r="D343" s="2">
        <v>2017</v>
      </c>
      <c r="E343" s="2" t="s">
        <v>127</v>
      </c>
      <c r="F343" s="2" t="s">
        <v>128</v>
      </c>
      <c r="G343" s="2" t="s">
        <v>19</v>
      </c>
      <c r="H343" s="11" t="s">
        <v>783</v>
      </c>
      <c r="I343" s="2" t="s">
        <v>130</v>
      </c>
      <c r="J343" s="2" t="s">
        <v>80</v>
      </c>
      <c r="K343" s="2" t="s">
        <v>23</v>
      </c>
      <c r="L343" s="2" t="s">
        <v>61</v>
      </c>
      <c r="M343" s="2" t="s">
        <v>62</v>
      </c>
      <c r="N343" s="2" t="s">
        <v>131</v>
      </c>
      <c r="O343" s="10">
        <v>169</v>
      </c>
      <c r="P343" t="s">
        <v>64</v>
      </c>
      <c r="Q343" t="str">
        <f>_xlfn.XLOOKUP(C:C,'[1]ErberthPereira-targetlist(20260'!$D:$D,'[1]ErberthPereira-targetlist(20260'!$C:$C)</f>
        <v>350218700290061</v>
      </c>
    </row>
    <row r="344" spans="3:17" x14ac:dyDescent="0.3">
      <c r="C344" s="2" t="s">
        <v>784</v>
      </c>
      <c r="D344" s="2">
        <v>2017</v>
      </c>
      <c r="E344" s="2" t="s">
        <v>127</v>
      </c>
      <c r="F344" s="2" t="s">
        <v>128</v>
      </c>
      <c r="G344" s="2" t="s">
        <v>19</v>
      </c>
      <c r="H344" s="11" t="s">
        <v>783</v>
      </c>
      <c r="I344" s="2" t="s">
        <v>186</v>
      </c>
      <c r="J344" s="2" t="s">
        <v>139</v>
      </c>
      <c r="K344" s="2" t="s">
        <v>33</v>
      </c>
      <c r="L344" s="2" t="s">
        <v>61</v>
      </c>
      <c r="M344" s="2" t="s">
        <v>74</v>
      </c>
      <c r="N344" s="2" t="s">
        <v>259</v>
      </c>
      <c r="O344">
        <v>127</v>
      </c>
      <c r="P344" t="s">
        <v>75</v>
      </c>
    </row>
    <row r="345" spans="3:17" x14ac:dyDescent="0.3">
      <c r="C345" s="2" t="s">
        <v>785</v>
      </c>
      <c r="D345" s="2">
        <v>2017</v>
      </c>
      <c r="E345" s="2" t="s">
        <v>127</v>
      </c>
      <c r="F345" s="2" t="s">
        <v>128</v>
      </c>
      <c r="G345" s="2" t="s">
        <v>19</v>
      </c>
      <c r="H345" s="11" t="s">
        <v>783</v>
      </c>
      <c r="I345" s="2" t="s">
        <v>196</v>
      </c>
      <c r="J345" s="2" t="s">
        <v>40</v>
      </c>
      <c r="K345" s="2" t="s">
        <v>23</v>
      </c>
      <c r="L345" s="2" t="s">
        <v>61</v>
      </c>
      <c r="M345" s="2" t="s">
        <v>62</v>
      </c>
      <c r="N345" s="2" t="s">
        <v>200</v>
      </c>
      <c r="O345" s="10">
        <v>169</v>
      </c>
      <c r="P345" t="s">
        <v>64</v>
      </c>
    </row>
    <row r="346" spans="3:17" x14ac:dyDescent="0.3">
      <c r="C346" s="2" t="s">
        <v>786</v>
      </c>
      <c r="D346" s="2">
        <v>2017</v>
      </c>
      <c r="E346" s="2" t="s">
        <v>127</v>
      </c>
      <c r="F346" s="2" t="s">
        <v>128</v>
      </c>
      <c r="G346" s="2" t="s">
        <v>19</v>
      </c>
      <c r="H346" s="11" t="s">
        <v>783</v>
      </c>
      <c r="I346" s="2" t="s">
        <v>787</v>
      </c>
      <c r="J346" s="2" t="s">
        <v>139</v>
      </c>
      <c r="K346" s="2" t="s">
        <v>23</v>
      </c>
      <c r="L346" s="2" t="s">
        <v>61</v>
      </c>
      <c r="M346" s="2" t="s">
        <v>74</v>
      </c>
      <c r="N346" s="2" t="s">
        <v>131</v>
      </c>
      <c r="O346">
        <v>127</v>
      </c>
      <c r="P346" t="s">
        <v>75</v>
      </c>
    </row>
    <row r="347" spans="3:17" x14ac:dyDescent="0.3">
      <c r="C347" s="2" t="s">
        <v>788</v>
      </c>
      <c r="D347" s="2">
        <v>2020</v>
      </c>
      <c r="E347" s="2" t="s">
        <v>789</v>
      </c>
      <c r="F347" s="2" t="s">
        <v>790</v>
      </c>
      <c r="G347" s="2" t="s">
        <v>19</v>
      </c>
      <c r="H347" s="9" t="s">
        <v>791</v>
      </c>
      <c r="I347" s="2" t="s">
        <v>25</v>
      </c>
      <c r="J347" s="2" t="s">
        <v>792</v>
      </c>
      <c r="K347" s="2" t="s">
        <v>25</v>
      </c>
      <c r="L347" s="2" t="s">
        <v>25</v>
      </c>
      <c r="M347" s="2" t="s">
        <v>793</v>
      </c>
      <c r="N347" s="2" t="s">
        <v>794</v>
      </c>
      <c r="O347">
        <v>127</v>
      </c>
      <c r="P347" t="s">
        <v>227</v>
      </c>
    </row>
    <row r="348" spans="3:17" x14ac:dyDescent="0.3">
      <c r="C348" s="2" t="s">
        <v>795</v>
      </c>
      <c r="D348" s="2">
        <v>2020</v>
      </c>
      <c r="E348" s="2" t="s">
        <v>789</v>
      </c>
      <c r="F348" s="2" t="s">
        <v>790</v>
      </c>
      <c r="G348" s="2" t="s">
        <v>19</v>
      </c>
      <c r="H348" s="9" t="s">
        <v>791</v>
      </c>
      <c r="I348" s="2" t="s">
        <v>25</v>
      </c>
      <c r="J348" s="2" t="s">
        <v>792</v>
      </c>
      <c r="K348" s="2" t="s">
        <v>25</v>
      </c>
      <c r="L348" s="2" t="s">
        <v>25</v>
      </c>
      <c r="M348" s="2" t="s">
        <v>793</v>
      </c>
      <c r="N348" s="2" t="s">
        <v>794</v>
      </c>
      <c r="O348">
        <v>169</v>
      </c>
      <c r="P348" t="s">
        <v>321</v>
      </c>
    </row>
    <row r="349" spans="3:17" x14ac:dyDescent="0.3">
      <c r="I349">
        <f>1650*7</f>
        <v>11550</v>
      </c>
    </row>
    <row r="350" spans="3:17" x14ac:dyDescent="0.3">
      <c r="C350" s="2" t="s">
        <v>796</v>
      </c>
      <c r="D350" s="2">
        <v>2022</v>
      </c>
      <c r="E350" s="2" t="s">
        <v>164</v>
      </c>
      <c r="F350" s="2" t="s">
        <v>159</v>
      </c>
      <c r="G350" s="2" t="s">
        <v>214</v>
      </c>
      <c r="H350" s="9" t="s">
        <v>783</v>
      </c>
      <c r="I350" s="2" t="s">
        <v>142</v>
      </c>
      <c r="J350" s="2" t="s">
        <v>139</v>
      </c>
      <c r="K350" s="2" t="s">
        <v>23</v>
      </c>
      <c r="L350" s="2" t="s">
        <v>24</v>
      </c>
      <c r="M350" s="2" t="s">
        <v>31</v>
      </c>
      <c r="N350" s="2" t="s">
        <v>161</v>
      </c>
      <c r="O350">
        <v>127</v>
      </c>
      <c r="P350" t="s">
        <v>162</v>
      </c>
    </row>
    <row r="351" spans="3:17" x14ac:dyDescent="0.3">
      <c r="C351" s="2" t="s">
        <v>797</v>
      </c>
      <c r="D351" s="2">
        <v>2022</v>
      </c>
      <c r="E351" s="2" t="s">
        <v>164</v>
      </c>
      <c r="F351" s="2" t="s">
        <v>159</v>
      </c>
      <c r="G351" s="2" t="s">
        <v>214</v>
      </c>
      <c r="H351" s="9" t="s">
        <v>783</v>
      </c>
      <c r="I351" s="2" t="s">
        <v>142</v>
      </c>
      <c r="J351" s="2" t="s">
        <v>139</v>
      </c>
      <c r="K351" s="2" t="s">
        <v>23</v>
      </c>
      <c r="L351" s="2" t="s">
        <v>24</v>
      </c>
      <c r="M351" s="2" t="s">
        <v>31</v>
      </c>
      <c r="N351" s="2" t="s">
        <v>161</v>
      </c>
      <c r="O351">
        <v>127</v>
      </c>
      <c r="P351" t="s">
        <v>162</v>
      </c>
    </row>
    <row r="352" spans="3:17" x14ac:dyDescent="0.3">
      <c r="C352" s="2" t="s">
        <v>798</v>
      </c>
      <c r="D352" s="2">
        <v>2022</v>
      </c>
      <c r="E352" s="2" t="s">
        <v>164</v>
      </c>
      <c r="F352" s="2" t="s">
        <v>159</v>
      </c>
      <c r="G352" s="2" t="s">
        <v>214</v>
      </c>
      <c r="H352" s="9" t="s">
        <v>783</v>
      </c>
      <c r="I352" s="2" t="s">
        <v>142</v>
      </c>
      <c r="J352" s="2" t="s">
        <v>139</v>
      </c>
      <c r="K352" s="2" t="s">
        <v>23</v>
      </c>
      <c r="L352" s="2" t="s">
        <v>24</v>
      </c>
      <c r="M352" s="2" t="s">
        <v>31</v>
      </c>
      <c r="N352" s="2" t="s">
        <v>161</v>
      </c>
      <c r="O352">
        <v>127</v>
      </c>
      <c r="P352" t="s">
        <v>162</v>
      </c>
    </row>
    <row r="353" spans="3:16" x14ac:dyDescent="0.3">
      <c r="C353" s="2" t="s">
        <v>799</v>
      </c>
      <c r="D353" s="2">
        <v>2023</v>
      </c>
      <c r="E353" s="2" t="s">
        <v>164</v>
      </c>
      <c r="F353" s="2" t="s">
        <v>159</v>
      </c>
      <c r="G353" s="2" t="s">
        <v>214</v>
      </c>
      <c r="H353" s="9" t="s">
        <v>783</v>
      </c>
      <c r="I353" s="2" t="s">
        <v>47</v>
      </c>
      <c r="J353" s="2" t="s">
        <v>34</v>
      </c>
      <c r="K353" s="2" t="s">
        <v>23</v>
      </c>
      <c r="L353" s="2" t="s">
        <v>24</v>
      </c>
      <c r="M353" s="2" t="s">
        <v>31</v>
      </c>
      <c r="N353" s="2" t="s">
        <v>269</v>
      </c>
      <c r="O353">
        <v>127</v>
      </c>
      <c r="P353" t="s">
        <v>69</v>
      </c>
    </row>
    <row r="354" spans="3:16" x14ac:dyDescent="0.3">
      <c r="C354" s="2" t="s">
        <v>800</v>
      </c>
      <c r="D354" s="2">
        <v>2023</v>
      </c>
      <c r="E354" s="2" t="s">
        <v>164</v>
      </c>
      <c r="F354" s="2" t="s">
        <v>159</v>
      </c>
      <c r="G354" s="2" t="s">
        <v>214</v>
      </c>
      <c r="H354" s="9" t="s">
        <v>783</v>
      </c>
      <c r="I354" s="2" t="s">
        <v>47</v>
      </c>
      <c r="J354" s="2" t="s">
        <v>34</v>
      </c>
      <c r="K354" s="2" t="s">
        <v>23</v>
      </c>
      <c r="L354" s="2" t="s">
        <v>24</v>
      </c>
      <c r="M354" s="2" t="s">
        <v>31</v>
      </c>
      <c r="N354" s="2" t="s">
        <v>269</v>
      </c>
      <c r="O354">
        <v>127</v>
      </c>
      <c r="P354" t="s">
        <v>69</v>
      </c>
    </row>
    <row r="355" spans="3:16" x14ac:dyDescent="0.3">
      <c r="C355" s="2" t="s">
        <v>801</v>
      </c>
      <c r="D355" s="2">
        <v>2022</v>
      </c>
      <c r="E355" s="2" t="s">
        <v>164</v>
      </c>
      <c r="F355" s="2" t="s">
        <v>159</v>
      </c>
      <c r="G355" s="2" t="s">
        <v>214</v>
      </c>
      <c r="H355" s="9" t="s">
        <v>783</v>
      </c>
      <c r="I355" s="2" t="s">
        <v>47</v>
      </c>
      <c r="J355" s="2" t="s">
        <v>34</v>
      </c>
      <c r="K355" s="2" t="s">
        <v>23</v>
      </c>
      <c r="L355" s="2" t="s">
        <v>24</v>
      </c>
      <c r="M355" s="2" t="s">
        <v>31</v>
      </c>
      <c r="N355" s="2" t="s">
        <v>161</v>
      </c>
      <c r="O355">
        <v>127</v>
      </c>
      <c r="P355" t="s">
        <v>162</v>
      </c>
    </row>
    <row r="356" spans="3:16" x14ac:dyDescent="0.3">
      <c r="C356" s="2" t="s">
        <v>802</v>
      </c>
      <c r="D356" s="2">
        <v>2023</v>
      </c>
      <c r="E356" s="2" t="s">
        <v>164</v>
      </c>
      <c r="F356" s="2" t="s">
        <v>159</v>
      </c>
      <c r="G356" s="2" t="s">
        <v>214</v>
      </c>
      <c r="H356" s="9" t="s">
        <v>783</v>
      </c>
      <c r="I356" s="2" t="s">
        <v>130</v>
      </c>
      <c r="J356" s="2" t="s">
        <v>80</v>
      </c>
      <c r="K356" s="2" t="s">
        <v>23</v>
      </c>
      <c r="L356" s="2" t="s">
        <v>61</v>
      </c>
      <c r="M356" s="2" t="s">
        <v>803</v>
      </c>
      <c r="N356" s="2" t="s">
        <v>356</v>
      </c>
      <c r="O356" s="10">
        <v>169</v>
      </c>
      <c r="P356" t="s">
        <v>64</v>
      </c>
    </row>
    <row r="357" spans="3:16" x14ac:dyDescent="0.3">
      <c r="C357" s="2" t="s">
        <v>804</v>
      </c>
      <c r="D357" s="2">
        <v>2022</v>
      </c>
      <c r="E357" s="2" t="s">
        <v>441</v>
      </c>
      <c r="F357" s="2" t="s">
        <v>18</v>
      </c>
      <c r="G357" s="2" t="s">
        <v>19</v>
      </c>
      <c r="H357" s="9" t="s">
        <v>783</v>
      </c>
      <c r="I357" s="2" t="s">
        <v>176</v>
      </c>
      <c r="J357" s="2" t="s">
        <v>80</v>
      </c>
      <c r="K357" s="2" t="s">
        <v>805</v>
      </c>
      <c r="L357" s="2" t="s">
        <v>24</v>
      </c>
      <c r="M357" s="2" t="s">
        <v>806</v>
      </c>
      <c r="N357" s="2" t="s">
        <v>26</v>
      </c>
      <c r="O357" s="10">
        <v>169</v>
      </c>
      <c r="P357" t="s">
        <v>358</v>
      </c>
    </row>
    <row r="358" spans="3:16" x14ac:dyDescent="0.3">
      <c r="C358" s="2" t="s">
        <v>807</v>
      </c>
      <c r="D358" s="2">
        <v>2022</v>
      </c>
      <c r="E358" s="2" t="s">
        <v>441</v>
      </c>
      <c r="F358" s="2" t="s">
        <v>18</v>
      </c>
      <c r="G358" s="2" t="s">
        <v>19</v>
      </c>
      <c r="H358" s="9" t="s">
        <v>783</v>
      </c>
      <c r="I358" s="2" t="s">
        <v>808</v>
      </c>
      <c r="J358" s="2" t="s">
        <v>22</v>
      </c>
      <c r="K358" s="2" t="s">
        <v>23</v>
      </c>
      <c r="L358" s="2" t="s">
        <v>24</v>
      </c>
      <c r="M358" s="2" t="s">
        <v>31</v>
      </c>
      <c r="N358" s="2" t="s">
        <v>52</v>
      </c>
      <c r="O358">
        <v>127</v>
      </c>
      <c r="P358" t="s">
        <v>136</v>
      </c>
    </row>
    <row r="359" spans="3:16" x14ac:dyDescent="0.3">
      <c r="C359" s="2" t="s">
        <v>809</v>
      </c>
      <c r="D359" s="2">
        <v>2022</v>
      </c>
      <c r="E359" s="2" t="s">
        <v>441</v>
      </c>
      <c r="F359" s="2" t="s">
        <v>18</v>
      </c>
      <c r="G359" s="2" t="s">
        <v>19</v>
      </c>
      <c r="H359" s="9" t="s">
        <v>783</v>
      </c>
      <c r="I359" s="2" t="s">
        <v>39</v>
      </c>
      <c r="J359" s="2" t="s">
        <v>80</v>
      </c>
      <c r="K359" s="2" t="s">
        <v>23</v>
      </c>
      <c r="L359" s="2" t="s">
        <v>41</v>
      </c>
      <c r="M359" s="2" t="s">
        <v>194</v>
      </c>
      <c r="N359" s="2" t="s">
        <v>43</v>
      </c>
      <c r="O359" s="10">
        <v>169</v>
      </c>
      <c r="P359" t="s">
        <v>44</v>
      </c>
    </row>
    <row r="360" spans="3:16" x14ac:dyDescent="0.3">
      <c r="C360" s="2" t="s">
        <v>810</v>
      </c>
      <c r="D360" s="2">
        <v>2017</v>
      </c>
      <c r="E360" s="2" t="s">
        <v>127</v>
      </c>
      <c r="F360" s="2" t="s">
        <v>301</v>
      </c>
      <c r="G360" s="2" t="s">
        <v>19</v>
      </c>
      <c r="H360" s="9" t="s">
        <v>783</v>
      </c>
      <c r="I360" s="2" t="s">
        <v>811</v>
      </c>
      <c r="J360" s="2" t="s">
        <v>34</v>
      </c>
      <c r="K360" s="2" t="s">
        <v>33</v>
      </c>
      <c r="L360" s="2" t="s">
        <v>61</v>
      </c>
      <c r="M360" s="2" t="s">
        <v>74</v>
      </c>
      <c r="N360" s="2" t="s">
        <v>783</v>
      </c>
      <c r="O360">
        <v>127</v>
      </c>
      <c r="P360" t="s">
        <v>304</v>
      </c>
    </row>
    <row r="361" spans="3:16" x14ac:dyDescent="0.3">
      <c r="C361" s="2" t="s">
        <v>812</v>
      </c>
      <c r="D361" s="2">
        <v>2022</v>
      </c>
      <c r="E361" s="2" t="s">
        <v>441</v>
      </c>
      <c r="F361" s="2" t="s">
        <v>18</v>
      </c>
      <c r="G361" s="2" t="s">
        <v>19</v>
      </c>
      <c r="H361" s="9" t="s">
        <v>783</v>
      </c>
      <c r="I361" s="2" t="s">
        <v>39</v>
      </c>
      <c r="J361" s="2" t="s">
        <v>34</v>
      </c>
      <c r="K361" s="2" t="s">
        <v>23</v>
      </c>
      <c r="L361" s="2" t="s">
        <v>41</v>
      </c>
      <c r="M361" s="2" t="s">
        <v>194</v>
      </c>
      <c r="N361" s="2" t="s">
        <v>96</v>
      </c>
      <c r="O361" s="10">
        <v>169</v>
      </c>
      <c r="P361" t="s">
        <v>44</v>
      </c>
    </row>
    <row r="362" spans="3:16" x14ac:dyDescent="0.3">
      <c r="C362" s="2" t="s">
        <v>813</v>
      </c>
      <c r="D362" s="2">
        <v>2022</v>
      </c>
      <c r="E362" s="2" t="s">
        <v>441</v>
      </c>
      <c r="F362" s="2" t="s">
        <v>18</v>
      </c>
      <c r="G362" s="2" t="s">
        <v>19</v>
      </c>
      <c r="H362" s="9" t="s">
        <v>783</v>
      </c>
      <c r="I362" s="2" t="s">
        <v>814</v>
      </c>
      <c r="J362" s="2" t="s">
        <v>80</v>
      </c>
      <c r="K362" s="2" t="s">
        <v>805</v>
      </c>
      <c r="L362" s="2" t="s">
        <v>24</v>
      </c>
      <c r="M362" s="2" t="s">
        <v>806</v>
      </c>
      <c r="N362" s="2" t="s">
        <v>107</v>
      </c>
      <c r="O362" s="10">
        <v>169</v>
      </c>
      <c r="P362" t="s">
        <v>108</v>
      </c>
    </row>
    <row r="363" spans="3:16" x14ac:dyDescent="0.3">
      <c r="C363" s="2" t="s">
        <v>815</v>
      </c>
      <c r="D363" s="2">
        <v>2022</v>
      </c>
      <c r="E363" s="2" t="s">
        <v>441</v>
      </c>
      <c r="F363" s="2" t="s">
        <v>18</v>
      </c>
      <c r="G363" s="2" t="s">
        <v>19</v>
      </c>
      <c r="H363" s="9" t="s">
        <v>783</v>
      </c>
      <c r="I363" s="2" t="s">
        <v>787</v>
      </c>
      <c r="J363" s="2" t="s">
        <v>139</v>
      </c>
      <c r="K363" s="2" t="s">
        <v>23</v>
      </c>
      <c r="L363" s="2" t="s">
        <v>24</v>
      </c>
      <c r="M363" s="2" t="s">
        <v>25</v>
      </c>
      <c r="N363" s="2" t="s">
        <v>761</v>
      </c>
      <c r="O363">
        <v>127</v>
      </c>
      <c r="P363" t="s">
        <v>162</v>
      </c>
    </row>
    <row r="364" spans="3:16" x14ac:dyDescent="0.3">
      <c r="C364" s="2" t="s">
        <v>816</v>
      </c>
      <c r="D364" s="2">
        <v>2022</v>
      </c>
      <c r="E364" s="2" t="s">
        <v>441</v>
      </c>
      <c r="F364" s="2" t="s">
        <v>18</v>
      </c>
      <c r="G364" s="2" t="s">
        <v>19</v>
      </c>
      <c r="H364" s="9" t="s">
        <v>783</v>
      </c>
      <c r="I364" s="2" t="s">
        <v>556</v>
      </c>
      <c r="J364" s="2" t="s">
        <v>34</v>
      </c>
      <c r="K364" s="2" t="s">
        <v>23</v>
      </c>
      <c r="L364" s="2" t="s">
        <v>61</v>
      </c>
      <c r="M364" s="2" t="s">
        <v>74</v>
      </c>
      <c r="N364" s="2" t="s">
        <v>817</v>
      </c>
      <c r="O364">
        <v>127</v>
      </c>
      <c r="P364" t="s">
        <v>648</v>
      </c>
    </row>
    <row r="365" spans="3:16" x14ac:dyDescent="0.3">
      <c r="C365" s="2" t="s">
        <v>818</v>
      </c>
      <c r="D365" s="2">
        <v>2022</v>
      </c>
      <c r="E365" s="2" t="s">
        <v>441</v>
      </c>
      <c r="F365" s="2" t="s">
        <v>18</v>
      </c>
      <c r="G365" s="2" t="s">
        <v>19</v>
      </c>
      <c r="H365" s="9" t="s">
        <v>783</v>
      </c>
      <c r="I365" s="2" t="s">
        <v>99</v>
      </c>
      <c r="J365" s="2" t="s">
        <v>80</v>
      </c>
      <c r="K365" s="2" t="s">
        <v>23</v>
      </c>
      <c r="L365" s="2" t="s">
        <v>41</v>
      </c>
      <c r="M365" s="2" t="s">
        <v>194</v>
      </c>
      <c r="N365" s="2" t="s">
        <v>52</v>
      </c>
      <c r="O365" s="10">
        <v>169</v>
      </c>
      <c r="P365" t="s">
        <v>44</v>
      </c>
    </row>
    <row r="366" spans="3:16" x14ac:dyDescent="0.3">
      <c r="C366" s="2" t="s">
        <v>819</v>
      </c>
      <c r="D366" s="2">
        <v>2022</v>
      </c>
      <c r="E366" s="2" t="s">
        <v>441</v>
      </c>
      <c r="F366" s="2" t="s">
        <v>18</v>
      </c>
      <c r="G366" s="2" t="s">
        <v>19</v>
      </c>
      <c r="H366" s="9" t="s">
        <v>783</v>
      </c>
      <c r="I366" s="2" t="s">
        <v>787</v>
      </c>
      <c r="J366" s="2" t="s">
        <v>139</v>
      </c>
      <c r="K366" s="2" t="s">
        <v>33</v>
      </c>
      <c r="L366" s="2" t="s">
        <v>24</v>
      </c>
      <c r="M366" s="2" t="s">
        <v>31</v>
      </c>
      <c r="N366" s="2" t="s">
        <v>26</v>
      </c>
      <c r="O366">
        <v>127</v>
      </c>
      <c r="P366" t="s">
        <v>27</v>
      </c>
    </row>
    <row r="367" spans="3:16" x14ac:dyDescent="0.3">
      <c r="C367" s="2" t="s">
        <v>820</v>
      </c>
      <c r="D367" s="2">
        <v>2022</v>
      </c>
      <c r="E367" s="2" t="s">
        <v>441</v>
      </c>
      <c r="F367" s="2" t="s">
        <v>18</v>
      </c>
      <c r="G367" s="2" t="s">
        <v>19</v>
      </c>
      <c r="H367" s="9" t="s">
        <v>783</v>
      </c>
      <c r="I367" s="2" t="s">
        <v>39</v>
      </c>
      <c r="J367" s="2" t="s">
        <v>22</v>
      </c>
      <c r="K367" s="2" t="s">
        <v>23</v>
      </c>
      <c r="L367" s="2" t="s">
        <v>41</v>
      </c>
      <c r="M367" s="2" t="s">
        <v>194</v>
      </c>
      <c r="N367" s="2" t="s">
        <v>55</v>
      </c>
      <c r="O367" s="10">
        <v>169</v>
      </c>
      <c r="P367" t="s">
        <v>44</v>
      </c>
    </row>
    <row r="368" spans="3:16" x14ac:dyDescent="0.3">
      <c r="C368" s="2" t="s">
        <v>821</v>
      </c>
      <c r="D368" s="2">
        <v>2022</v>
      </c>
      <c r="E368" s="2" t="s">
        <v>441</v>
      </c>
      <c r="F368" s="2" t="s">
        <v>18</v>
      </c>
      <c r="G368" s="2" t="s">
        <v>19</v>
      </c>
      <c r="H368" s="9" t="s">
        <v>783</v>
      </c>
      <c r="I368" s="2" t="s">
        <v>39</v>
      </c>
      <c r="J368" s="2" t="s">
        <v>34</v>
      </c>
      <c r="K368" s="2" t="s">
        <v>23</v>
      </c>
      <c r="L368" s="2" t="s">
        <v>41</v>
      </c>
      <c r="M368" s="2" t="s">
        <v>194</v>
      </c>
      <c r="N368" s="2" t="s">
        <v>55</v>
      </c>
      <c r="O368" s="10">
        <v>169</v>
      </c>
      <c r="P368" t="s">
        <v>44</v>
      </c>
    </row>
    <row r="369" spans="3:16" x14ac:dyDescent="0.3">
      <c r="C369" s="2" t="s">
        <v>822</v>
      </c>
      <c r="D369" s="2">
        <v>2022</v>
      </c>
      <c r="E369" s="2" t="s">
        <v>441</v>
      </c>
      <c r="F369" s="2" t="s">
        <v>18</v>
      </c>
      <c r="G369" s="2" t="s">
        <v>19</v>
      </c>
      <c r="H369" s="9" t="s">
        <v>783</v>
      </c>
      <c r="I369" s="2" t="s">
        <v>823</v>
      </c>
      <c r="J369" s="2" t="s">
        <v>80</v>
      </c>
      <c r="K369" s="2" t="s">
        <v>805</v>
      </c>
      <c r="L369" s="2" t="s">
        <v>24</v>
      </c>
      <c r="M369" s="2" t="s">
        <v>806</v>
      </c>
      <c r="N369" s="2" t="s">
        <v>26</v>
      </c>
      <c r="O369" s="10">
        <v>169</v>
      </c>
      <c r="P369" t="s">
        <v>358</v>
      </c>
    </row>
    <row r="370" spans="3:16" x14ac:dyDescent="0.3">
      <c r="C370" s="2" t="s">
        <v>824</v>
      </c>
      <c r="D370" s="2">
        <v>2020</v>
      </c>
      <c r="E370" s="2" t="s">
        <v>17</v>
      </c>
      <c r="F370" s="2" t="s">
        <v>18</v>
      </c>
      <c r="G370" s="2" t="s">
        <v>19</v>
      </c>
      <c r="H370" s="9" t="s">
        <v>783</v>
      </c>
      <c r="I370" s="2" t="s">
        <v>375</v>
      </c>
      <c r="J370" s="2" t="s">
        <v>139</v>
      </c>
      <c r="K370" s="2" t="s">
        <v>23</v>
      </c>
      <c r="L370" s="2" t="s">
        <v>24</v>
      </c>
      <c r="M370" s="2" t="s">
        <v>31</v>
      </c>
      <c r="N370" s="2" t="s">
        <v>52</v>
      </c>
      <c r="O370">
        <v>127</v>
      </c>
      <c r="P370" t="s">
        <v>136</v>
      </c>
    </row>
    <row r="371" spans="3:16" x14ac:dyDescent="0.3">
      <c r="C371" s="2" t="s">
        <v>825</v>
      </c>
      <c r="D371" s="2">
        <v>2022</v>
      </c>
      <c r="E371" s="2" t="s">
        <v>441</v>
      </c>
      <c r="F371" s="2" t="s">
        <v>18</v>
      </c>
      <c r="G371" s="2" t="s">
        <v>19</v>
      </c>
      <c r="H371" s="9" t="s">
        <v>783</v>
      </c>
      <c r="I371" s="2" t="s">
        <v>39</v>
      </c>
      <c r="J371" s="2" t="s">
        <v>34</v>
      </c>
      <c r="K371" s="2" t="s">
        <v>23</v>
      </c>
      <c r="L371" s="2" t="s">
        <v>41</v>
      </c>
      <c r="M371" s="2" t="s">
        <v>194</v>
      </c>
      <c r="N371" s="2" t="s">
        <v>55</v>
      </c>
      <c r="O371" s="10">
        <v>169</v>
      </c>
      <c r="P371" t="s">
        <v>44</v>
      </c>
    </row>
    <row r="372" spans="3:16" x14ac:dyDescent="0.3">
      <c r="C372" s="2" t="s">
        <v>826</v>
      </c>
      <c r="D372" s="2">
        <v>2022</v>
      </c>
      <c r="E372" s="2" t="s">
        <v>441</v>
      </c>
      <c r="F372" s="2" t="s">
        <v>18</v>
      </c>
      <c r="G372" s="2" t="s">
        <v>19</v>
      </c>
      <c r="H372" s="9" t="s">
        <v>783</v>
      </c>
      <c r="I372" s="2" t="s">
        <v>166</v>
      </c>
      <c r="J372" s="2" t="s">
        <v>80</v>
      </c>
      <c r="K372" s="2" t="s">
        <v>805</v>
      </c>
      <c r="L372" s="2" t="s">
        <v>24</v>
      </c>
      <c r="M372" s="2" t="s">
        <v>806</v>
      </c>
      <c r="N372" s="2" t="s">
        <v>107</v>
      </c>
      <c r="O372" s="10">
        <v>169</v>
      </c>
      <c r="P372" t="s">
        <v>108</v>
      </c>
    </row>
    <row r="373" spans="3:16" x14ac:dyDescent="0.3">
      <c r="C373" s="2" t="s">
        <v>827</v>
      </c>
      <c r="D373" s="2">
        <v>2022</v>
      </c>
      <c r="E373" s="2" t="s">
        <v>441</v>
      </c>
      <c r="F373" s="2" t="s">
        <v>18</v>
      </c>
      <c r="G373" s="2" t="s">
        <v>19</v>
      </c>
      <c r="H373" s="9" t="s">
        <v>783</v>
      </c>
      <c r="I373" s="2" t="s">
        <v>39</v>
      </c>
      <c r="J373" s="2" t="s">
        <v>40</v>
      </c>
      <c r="K373" s="2" t="s">
        <v>23</v>
      </c>
      <c r="L373" s="2" t="s">
        <v>41</v>
      </c>
      <c r="M373" s="2" t="s">
        <v>194</v>
      </c>
      <c r="N373" s="2" t="s">
        <v>55</v>
      </c>
      <c r="O373" s="10">
        <v>169</v>
      </c>
      <c r="P373" t="s">
        <v>44</v>
      </c>
    </row>
    <row r="374" spans="3:16" x14ac:dyDescent="0.3">
      <c r="C374" s="2" t="s">
        <v>828</v>
      </c>
      <c r="D374" s="2">
        <v>2022</v>
      </c>
      <c r="E374" s="2" t="s">
        <v>441</v>
      </c>
      <c r="F374" s="2" t="s">
        <v>18</v>
      </c>
      <c r="G374" s="2" t="s">
        <v>19</v>
      </c>
      <c r="H374" s="9" t="s">
        <v>783</v>
      </c>
      <c r="I374" s="2" t="s">
        <v>47</v>
      </c>
      <c r="J374" s="2" t="s">
        <v>34</v>
      </c>
      <c r="K374" s="2" t="s">
        <v>23</v>
      </c>
      <c r="L374" s="2" t="s">
        <v>24</v>
      </c>
      <c r="M374" s="2" t="s">
        <v>31</v>
      </c>
      <c r="N374" s="2" t="s">
        <v>614</v>
      </c>
      <c r="O374">
        <v>127</v>
      </c>
      <c r="P374" t="s">
        <v>36</v>
      </c>
    </row>
    <row r="375" spans="3:16" x14ac:dyDescent="0.3">
      <c r="C375" s="2" t="s">
        <v>829</v>
      </c>
      <c r="D375" s="2">
        <v>2022</v>
      </c>
      <c r="E375" s="2" t="s">
        <v>441</v>
      </c>
      <c r="F375" s="2" t="s">
        <v>18</v>
      </c>
      <c r="G375" s="2" t="s">
        <v>19</v>
      </c>
      <c r="H375" s="9" t="s">
        <v>783</v>
      </c>
      <c r="I375" s="2" t="s">
        <v>556</v>
      </c>
      <c r="J375" s="2" t="s">
        <v>34</v>
      </c>
      <c r="K375" s="2" t="s">
        <v>23</v>
      </c>
      <c r="L375" s="2" t="s">
        <v>61</v>
      </c>
      <c r="M375" s="2" t="s">
        <v>74</v>
      </c>
      <c r="N375" s="2" t="s">
        <v>817</v>
      </c>
      <c r="O375">
        <v>127</v>
      </c>
      <c r="P375" t="s">
        <v>648</v>
      </c>
    </row>
    <row r="376" spans="3:16" x14ac:dyDescent="0.3">
      <c r="C376" s="2" t="s">
        <v>830</v>
      </c>
      <c r="D376" s="2">
        <v>2022</v>
      </c>
      <c r="E376" s="2" t="s">
        <v>441</v>
      </c>
      <c r="F376" s="2" t="s">
        <v>18</v>
      </c>
      <c r="G376" s="2" t="s">
        <v>19</v>
      </c>
      <c r="H376" s="9" t="s">
        <v>783</v>
      </c>
      <c r="I376" s="2" t="s">
        <v>39</v>
      </c>
      <c r="J376" s="2" t="s">
        <v>80</v>
      </c>
      <c r="K376" s="2" t="s">
        <v>23</v>
      </c>
      <c r="L376" s="2" t="s">
        <v>41</v>
      </c>
      <c r="M376" s="2" t="s">
        <v>194</v>
      </c>
      <c r="N376" s="2" t="s">
        <v>55</v>
      </c>
      <c r="O376" s="10">
        <v>169</v>
      </c>
      <c r="P376" t="s">
        <v>44</v>
      </c>
    </row>
    <row r="377" spans="3:16" x14ac:dyDescent="0.3">
      <c r="C377" s="2" t="s">
        <v>831</v>
      </c>
      <c r="D377" s="2">
        <v>2022</v>
      </c>
      <c r="E377" s="2" t="s">
        <v>441</v>
      </c>
      <c r="F377" s="2" t="s">
        <v>18</v>
      </c>
      <c r="G377" s="2" t="s">
        <v>19</v>
      </c>
      <c r="H377" s="9" t="s">
        <v>783</v>
      </c>
      <c r="I377" s="2" t="s">
        <v>47</v>
      </c>
      <c r="J377" s="2" t="s">
        <v>34</v>
      </c>
      <c r="K377" s="2" t="s">
        <v>33</v>
      </c>
      <c r="L377" s="2" t="s">
        <v>24</v>
      </c>
      <c r="M377" s="2" t="s">
        <v>31</v>
      </c>
      <c r="N377" s="2" t="s">
        <v>614</v>
      </c>
      <c r="O377">
        <v>127</v>
      </c>
      <c r="P377" t="s">
        <v>36</v>
      </c>
    </row>
    <row r="378" spans="3:16" x14ac:dyDescent="0.3">
      <c r="C378" s="2" t="s">
        <v>832</v>
      </c>
      <c r="D378" s="2">
        <v>2020</v>
      </c>
      <c r="E378" s="2" t="s">
        <v>17</v>
      </c>
      <c r="F378" s="2" t="s">
        <v>18</v>
      </c>
      <c r="G378" s="2" t="s">
        <v>19</v>
      </c>
      <c r="H378" s="9" t="s">
        <v>783</v>
      </c>
      <c r="I378" s="2" t="s">
        <v>30</v>
      </c>
      <c r="J378" s="2" t="s">
        <v>22</v>
      </c>
      <c r="K378" s="2" t="s">
        <v>23</v>
      </c>
      <c r="L378" s="2" t="s">
        <v>24</v>
      </c>
      <c r="M378" s="2" t="s">
        <v>31</v>
      </c>
      <c r="N378" s="2" t="s">
        <v>614</v>
      </c>
      <c r="O378">
        <v>127</v>
      </c>
      <c r="P378" t="s">
        <v>36</v>
      </c>
    </row>
    <row r="379" spans="3:16" x14ac:dyDescent="0.3">
      <c r="C379" s="2" t="s">
        <v>833</v>
      </c>
      <c r="D379" s="2">
        <v>2022</v>
      </c>
      <c r="E379" s="2" t="s">
        <v>441</v>
      </c>
      <c r="F379" s="2" t="s">
        <v>18</v>
      </c>
      <c r="G379" s="2" t="s">
        <v>19</v>
      </c>
      <c r="H379" s="9" t="s">
        <v>783</v>
      </c>
      <c r="I379" s="2" t="s">
        <v>39</v>
      </c>
      <c r="J379" s="2" t="s">
        <v>22</v>
      </c>
      <c r="K379" s="2" t="s">
        <v>23</v>
      </c>
      <c r="L379" s="2" t="s">
        <v>41</v>
      </c>
      <c r="M379" s="2" t="s">
        <v>194</v>
      </c>
      <c r="N379" s="2" t="s">
        <v>55</v>
      </c>
      <c r="O379" s="10">
        <v>169</v>
      </c>
      <c r="P379" t="s">
        <v>44</v>
      </c>
    </row>
    <row r="380" spans="3:16" x14ac:dyDescent="0.3">
      <c r="C380" s="2" t="s">
        <v>834</v>
      </c>
      <c r="D380" s="2">
        <v>2022</v>
      </c>
      <c r="E380" s="2" t="s">
        <v>441</v>
      </c>
      <c r="F380" s="2" t="s">
        <v>18</v>
      </c>
      <c r="G380" s="2" t="s">
        <v>19</v>
      </c>
      <c r="H380" s="9" t="s">
        <v>783</v>
      </c>
      <c r="I380" s="2" t="s">
        <v>39</v>
      </c>
      <c r="J380" s="2" t="s">
        <v>34</v>
      </c>
      <c r="K380" s="2" t="s">
        <v>23</v>
      </c>
      <c r="L380" s="2" t="s">
        <v>41</v>
      </c>
      <c r="M380" s="2" t="s">
        <v>194</v>
      </c>
      <c r="N380" s="2" t="s">
        <v>55</v>
      </c>
      <c r="O380" s="10">
        <v>169</v>
      </c>
      <c r="P380" t="s">
        <v>44</v>
      </c>
    </row>
    <row r="381" spans="3:16" x14ac:dyDescent="0.3">
      <c r="C381" s="2" t="s">
        <v>835</v>
      </c>
      <c r="D381" s="2">
        <v>2022</v>
      </c>
      <c r="E381" s="2" t="s">
        <v>307</v>
      </c>
      <c r="F381" s="2" t="s">
        <v>293</v>
      </c>
      <c r="G381" s="2" t="s">
        <v>19</v>
      </c>
      <c r="H381" s="9" t="s">
        <v>783</v>
      </c>
      <c r="I381" s="2" t="s">
        <v>294</v>
      </c>
      <c r="J381" s="2" t="s">
        <v>34</v>
      </c>
      <c r="K381" s="2" t="s">
        <v>805</v>
      </c>
      <c r="L381" s="2" t="s">
        <v>25</v>
      </c>
      <c r="M381" s="2" t="s">
        <v>25</v>
      </c>
      <c r="N381" s="2" t="s">
        <v>92</v>
      </c>
      <c r="O381">
        <v>127</v>
      </c>
      <c r="P381" t="s">
        <v>227</v>
      </c>
    </row>
    <row r="382" spans="3:16" x14ac:dyDescent="0.3">
      <c r="C382" s="2" t="s">
        <v>836</v>
      </c>
      <c r="D382" s="2">
        <v>2022</v>
      </c>
      <c r="E382" s="2" t="s">
        <v>164</v>
      </c>
      <c r="F382" s="2" t="s">
        <v>159</v>
      </c>
      <c r="G382" s="2" t="s">
        <v>214</v>
      </c>
      <c r="H382" s="9" t="s">
        <v>783</v>
      </c>
      <c r="I382" s="2" t="s">
        <v>313</v>
      </c>
      <c r="J382" s="2" t="s">
        <v>34</v>
      </c>
      <c r="K382" s="2" t="s">
        <v>805</v>
      </c>
      <c r="L382" s="2" t="s">
        <v>61</v>
      </c>
      <c r="M382" s="2" t="s">
        <v>74</v>
      </c>
      <c r="N382" s="2" t="s">
        <v>356</v>
      </c>
      <c r="O382">
        <v>127</v>
      </c>
      <c r="P382" t="s">
        <v>75</v>
      </c>
    </row>
    <row r="383" spans="3:16" x14ac:dyDescent="0.3">
      <c r="C383" s="2" t="s">
        <v>837</v>
      </c>
      <c r="D383" s="2">
        <v>2022</v>
      </c>
      <c r="E383" s="2" t="s">
        <v>164</v>
      </c>
      <c r="F383" s="2" t="s">
        <v>159</v>
      </c>
      <c r="G383" s="2" t="s">
        <v>214</v>
      </c>
      <c r="H383" s="9" t="s">
        <v>783</v>
      </c>
      <c r="I383" s="2" t="s">
        <v>838</v>
      </c>
      <c r="J383" s="2" t="s">
        <v>40</v>
      </c>
      <c r="K383" s="2" t="s">
        <v>23</v>
      </c>
      <c r="L383" s="2" t="s">
        <v>24</v>
      </c>
      <c r="M383" s="2" t="s">
        <v>806</v>
      </c>
      <c r="N383" s="2" t="s">
        <v>161</v>
      </c>
      <c r="O383" s="10">
        <v>169</v>
      </c>
      <c r="P383" t="s">
        <v>167</v>
      </c>
    </row>
    <row r="384" spans="3:16" x14ac:dyDescent="0.3">
      <c r="C384" s="2" t="s">
        <v>839</v>
      </c>
      <c r="D384" s="2">
        <v>2022</v>
      </c>
      <c r="E384" s="2" t="s">
        <v>164</v>
      </c>
      <c r="F384" s="2" t="s">
        <v>159</v>
      </c>
      <c r="G384" s="2" t="s">
        <v>214</v>
      </c>
      <c r="H384" s="9" t="s">
        <v>783</v>
      </c>
      <c r="I384" s="2" t="s">
        <v>47</v>
      </c>
      <c r="J384" s="2" t="s">
        <v>34</v>
      </c>
      <c r="K384" s="2" t="s">
        <v>33</v>
      </c>
      <c r="L384" s="2" t="s">
        <v>24</v>
      </c>
      <c r="M384" s="2" t="s">
        <v>31</v>
      </c>
      <c r="N384" s="2" t="s">
        <v>269</v>
      </c>
      <c r="O384">
        <v>127</v>
      </c>
      <c r="P384" t="s">
        <v>69</v>
      </c>
    </row>
    <row r="385" spans="3:16" x14ac:dyDescent="0.3">
      <c r="C385" s="2" t="s">
        <v>840</v>
      </c>
      <c r="D385" s="2">
        <v>2022</v>
      </c>
      <c r="E385" s="2" t="s">
        <v>164</v>
      </c>
      <c r="F385" s="2" t="s">
        <v>159</v>
      </c>
      <c r="G385" s="2" t="s">
        <v>214</v>
      </c>
      <c r="H385" s="9" t="s">
        <v>783</v>
      </c>
      <c r="I385" s="2" t="s">
        <v>39</v>
      </c>
      <c r="J385" s="2" t="s">
        <v>34</v>
      </c>
      <c r="K385" s="2" t="s">
        <v>23</v>
      </c>
      <c r="L385" s="2" t="s">
        <v>41</v>
      </c>
      <c r="M385" s="2" t="s">
        <v>194</v>
      </c>
      <c r="N385" s="2" t="s">
        <v>606</v>
      </c>
      <c r="O385" s="10">
        <v>169</v>
      </c>
      <c r="P385" t="s">
        <v>44</v>
      </c>
    </row>
    <row r="386" spans="3:16" x14ac:dyDescent="0.3">
      <c r="C386" s="2" t="s">
        <v>841</v>
      </c>
      <c r="D386" s="2">
        <v>2022</v>
      </c>
      <c r="E386" s="2" t="s">
        <v>164</v>
      </c>
      <c r="F386" s="2" t="s">
        <v>159</v>
      </c>
      <c r="G386" s="2" t="s">
        <v>214</v>
      </c>
      <c r="H386" s="9" t="s">
        <v>783</v>
      </c>
      <c r="I386" s="2" t="s">
        <v>39</v>
      </c>
      <c r="J386" s="2" t="s">
        <v>80</v>
      </c>
      <c r="K386" s="2" t="s">
        <v>23</v>
      </c>
      <c r="L386" s="2" t="s">
        <v>41</v>
      </c>
      <c r="M386" s="2" t="s">
        <v>194</v>
      </c>
      <c r="N386" s="2" t="s">
        <v>606</v>
      </c>
      <c r="O386" s="10">
        <v>169</v>
      </c>
      <c r="P386" t="s">
        <v>44</v>
      </c>
    </row>
    <row r="387" spans="3:16" x14ac:dyDescent="0.3">
      <c r="C387" s="2" t="s">
        <v>842</v>
      </c>
      <c r="D387" s="2">
        <v>2022</v>
      </c>
      <c r="E387" s="2" t="s">
        <v>164</v>
      </c>
      <c r="F387" s="2" t="s">
        <v>159</v>
      </c>
      <c r="G387" s="2" t="s">
        <v>214</v>
      </c>
      <c r="H387" s="9" t="s">
        <v>783</v>
      </c>
      <c r="I387" s="2" t="s">
        <v>176</v>
      </c>
      <c r="J387" s="2" t="s">
        <v>80</v>
      </c>
      <c r="K387" s="2" t="s">
        <v>23</v>
      </c>
      <c r="L387" s="2" t="s">
        <v>24</v>
      </c>
      <c r="M387" s="2" t="s">
        <v>806</v>
      </c>
      <c r="N387" s="2" t="s">
        <v>269</v>
      </c>
      <c r="O387" s="10">
        <v>169</v>
      </c>
      <c r="P387" t="s">
        <v>285</v>
      </c>
    </row>
    <row r="388" spans="3:16" x14ac:dyDescent="0.3">
      <c r="C388" s="2" t="s">
        <v>843</v>
      </c>
      <c r="D388" s="2">
        <v>2023</v>
      </c>
      <c r="E388" s="2" t="s">
        <v>164</v>
      </c>
      <c r="F388" s="2" t="s">
        <v>159</v>
      </c>
      <c r="G388" s="2" t="s">
        <v>214</v>
      </c>
      <c r="H388" s="9" t="s">
        <v>783</v>
      </c>
      <c r="I388" s="2" t="s">
        <v>47</v>
      </c>
      <c r="J388" s="2" t="s">
        <v>34</v>
      </c>
      <c r="K388" s="2" t="s">
        <v>23</v>
      </c>
      <c r="L388" s="2" t="s">
        <v>24</v>
      </c>
      <c r="M388" s="2" t="s">
        <v>31</v>
      </c>
      <c r="N388" s="2" t="s">
        <v>161</v>
      </c>
      <c r="O388">
        <v>127</v>
      </c>
      <c r="P388" t="s">
        <v>162</v>
      </c>
    </row>
    <row r="389" spans="3:16" x14ac:dyDescent="0.3">
      <c r="C389" s="2" t="s">
        <v>844</v>
      </c>
      <c r="D389" s="2">
        <v>2022</v>
      </c>
      <c r="E389" s="2" t="s">
        <v>164</v>
      </c>
      <c r="F389" s="2" t="s">
        <v>159</v>
      </c>
      <c r="G389" s="2" t="s">
        <v>214</v>
      </c>
      <c r="H389" s="9" t="s">
        <v>783</v>
      </c>
      <c r="I389" s="2" t="s">
        <v>823</v>
      </c>
      <c r="J389" s="2" t="s">
        <v>80</v>
      </c>
      <c r="K389" s="2" t="s">
        <v>33</v>
      </c>
      <c r="L389" s="2" t="s">
        <v>24</v>
      </c>
      <c r="M389" s="2" t="s">
        <v>806</v>
      </c>
      <c r="N389" s="2" t="s">
        <v>161</v>
      </c>
      <c r="O389" s="10">
        <v>169</v>
      </c>
      <c r="P389" t="s">
        <v>167</v>
      </c>
    </row>
    <row r="390" spans="3:16" x14ac:dyDescent="0.3">
      <c r="C390" s="2" t="s">
        <v>845</v>
      </c>
      <c r="D390" s="2">
        <v>2022</v>
      </c>
      <c r="E390" s="2" t="s">
        <v>164</v>
      </c>
      <c r="F390" s="2" t="s">
        <v>159</v>
      </c>
      <c r="G390" s="2" t="s">
        <v>214</v>
      </c>
      <c r="H390" s="9" t="s">
        <v>783</v>
      </c>
      <c r="I390" s="2" t="s">
        <v>838</v>
      </c>
      <c r="J390" s="2" t="s">
        <v>40</v>
      </c>
      <c r="K390" s="2" t="s">
        <v>23</v>
      </c>
      <c r="L390" s="2" t="s">
        <v>24</v>
      </c>
      <c r="M390" s="2" t="s">
        <v>806</v>
      </c>
      <c r="N390" s="2" t="s">
        <v>269</v>
      </c>
      <c r="O390" s="10">
        <v>169</v>
      </c>
      <c r="P390" t="s">
        <v>285</v>
      </c>
    </row>
    <row r="391" spans="3:16" x14ac:dyDescent="0.3">
      <c r="C391" s="2" t="s">
        <v>846</v>
      </c>
      <c r="D391" s="2">
        <v>2022</v>
      </c>
      <c r="E391" s="2" t="s">
        <v>164</v>
      </c>
      <c r="F391" s="2" t="s">
        <v>159</v>
      </c>
      <c r="G391" s="2" t="s">
        <v>214</v>
      </c>
      <c r="H391" s="9" t="s">
        <v>783</v>
      </c>
      <c r="I391" s="2" t="s">
        <v>811</v>
      </c>
      <c r="J391" s="2" t="s">
        <v>40</v>
      </c>
      <c r="K391" s="2" t="s">
        <v>33</v>
      </c>
      <c r="L391" s="2" t="s">
        <v>24</v>
      </c>
      <c r="M391" s="2" t="s">
        <v>806</v>
      </c>
      <c r="N391" s="2" t="s">
        <v>645</v>
      </c>
      <c r="O391" s="10">
        <v>169</v>
      </c>
      <c r="P391" t="s">
        <v>285</v>
      </c>
    </row>
    <row r="392" spans="3:16" x14ac:dyDescent="0.3">
      <c r="C392" s="2" t="s">
        <v>847</v>
      </c>
      <c r="D392" s="2">
        <v>2021</v>
      </c>
      <c r="E392" s="2" t="s">
        <v>164</v>
      </c>
      <c r="F392" s="2" t="s">
        <v>159</v>
      </c>
      <c r="G392" s="2" t="s">
        <v>214</v>
      </c>
      <c r="H392" s="9" t="s">
        <v>783</v>
      </c>
      <c r="I392" s="2" t="s">
        <v>47</v>
      </c>
      <c r="J392" s="2" t="s">
        <v>34</v>
      </c>
      <c r="K392" s="2" t="s">
        <v>23</v>
      </c>
      <c r="L392" s="2" t="s">
        <v>24</v>
      </c>
      <c r="M392" s="2" t="s">
        <v>31</v>
      </c>
      <c r="N392" s="2" t="s">
        <v>161</v>
      </c>
      <c r="O392">
        <v>127</v>
      </c>
      <c r="P392" t="s">
        <v>162</v>
      </c>
    </row>
    <row r="393" spans="3:16" x14ac:dyDescent="0.3">
      <c r="C393" s="2" t="s">
        <v>848</v>
      </c>
      <c r="D393" s="2">
        <v>2021</v>
      </c>
      <c r="E393" s="2" t="s">
        <v>164</v>
      </c>
      <c r="F393" s="2" t="s">
        <v>159</v>
      </c>
      <c r="G393" s="2" t="s">
        <v>214</v>
      </c>
      <c r="H393" s="9" t="s">
        <v>783</v>
      </c>
      <c r="I393" s="2" t="s">
        <v>47</v>
      </c>
      <c r="J393" s="2" t="s">
        <v>34</v>
      </c>
      <c r="K393" s="2" t="s">
        <v>23</v>
      </c>
      <c r="L393" s="2" t="s">
        <v>24</v>
      </c>
      <c r="M393" s="2" t="s">
        <v>31</v>
      </c>
      <c r="N393" s="2" t="s">
        <v>161</v>
      </c>
      <c r="O393">
        <v>127</v>
      </c>
      <c r="P393" t="s">
        <v>162</v>
      </c>
    </row>
    <row r="394" spans="3:16" x14ac:dyDescent="0.3">
      <c r="C394" s="2" t="s">
        <v>849</v>
      </c>
      <c r="D394" s="2">
        <v>2023</v>
      </c>
      <c r="E394" s="2" t="s">
        <v>164</v>
      </c>
      <c r="F394" s="2" t="s">
        <v>159</v>
      </c>
      <c r="G394" s="2" t="s">
        <v>214</v>
      </c>
      <c r="H394" s="9" t="s">
        <v>783</v>
      </c>
      <c r="I394" s="2" t="s">
        <v>811</v>
      </c>
      <c r="J394" s="2" t="s">
        <v>40</v>
      </c>
      <c r="K394" s="2" t="s">
        <v>33</v>
      </c>
      <c r="L394" s="2" t="s">
        <v>24</v>
      </c>
      <c r="M394" s="2" t="s">
        <v>806</v>
      </c>
      <c r="N394" s="2" t="s">
        <v>161</v>
      </c>
      <c r="O394" s="10">
        <v>169</v>
      </c>
      <c r="P394" t="s">
        <v>167</v>
      </c>
    </row>
    <row r="395" spans="3:16" x14ac:dyDescent="0.3">
      <c r="C395" s="2" t="s">
        <v>850</v>
      </c>
      <c r="D395" s="2">
        <v>2022</v>
      </c>
      <c r="E395" s="2" t="s">
        <v>164</v>
      </c>
      <c r="F395" s="2" t="s">
        <v>159</v>
      </c>
      <c r="G395" s="2" t="s">
        <v>214</v>
      </c>
      <c r="H395" s="9" t="s">
        <v>783</v>
      </c>
      <c r="I395" s="2" t="s">
        <v>47</v>
      </c>
      <c r="J395" s="2" t="s">
        <v>34</v>
      </c>
      <c r="K395" s="2" t="s">
        <v>23</v>
      </c>
      <c r="L395" s="2" t="s">
        <v>24</v>
      </c>
      <c r="M395" s="2" t="s">
        <v>31</v>
      </c>
      <c r="N395" s="2" t="s">
        <v>269</v>
      </c>
      <c r="O395">
        <v>127</v>
      </c>
      <c r="P395" t="s">
        <v>69</v>
      </c>
    </row>
    <row r="396" spans="3:16" x14ac:dyDescent="0.3">
      <c r="C396" s="2" t="s">
        <v>851</v>
      </c>
      <c r="D396" s="2">
        <v>2021</v>
      </c>
      <c r="E396" s="2" t="s">
        <v>164</v>
      </c>
      <c r="F396" s="2" t="s">
        <v>159</v>
      </c>
      <c r="G396" s="2" t="s">
        <v>214</v>
      </c>
      <c r="H396" s="9" t="s">
        <v>783</v>
      </c>
      <c r="I396" s="2" t="s">
        <v>47</v>
      </c>
      <c r="J396" s="2" t="s">
        <v>34</v>
      </c>
      <c r="K396" s="2" t="s">
        <v>23</v>
      </c>
      <c r="L396" s="2" t="s">
        <v>24</v>
      </c>
      <c r="M396" s="2" t="s">
        <v>31</v>
      </c>
      <c r="N396" s="2" t="s">
        <v>269</v>
      </c>
      <c r="O396">
        <v>127</v>
      </c>
      <c r="P396" t="s">
        <v>69</v>
      </c>
    </row>
    <row r="397" spans="3:16" x14ac:dyDescent="0.3">
      <c r="C397" s="2" t="s">
        <v>852</v>
      </c>
      <c r="D397" s="2">
        <v>2020</v>
      </c>
      <c r="E397" s="2" t="s">
        <v>17</v>
      </c>
      <c r="F397" s="2" t="s">
        <v>18</v>
      </c>
      <c r="G397" s="2" t="s">
        <v>19</v>
      </c>
      <c r="H397" s="9" t="s">
        <v>783</v>
      </c>
      <c r="I397" s="2" t="s">
        <v>60</v>
      </c>
      <c r="J397" s="2" t="s">
        <v>40</v>
      </c>
      <c r="K397" s="2" t="s">
        <v>51</v>
      </c>
      <c r="L397" s="2" t="s">
        <v>61</v>
      </c>
      <c r="M397" s="2" t="s">
        <v>853</v>
      </c>
      <c r="N397" s="2" t="s">
        <v>63</v>
      </c>
      <c r="O397" s="10">
        <v>169</v>
      </c>
      <c r="P397" t="s">
        <v>64</v>
      </c>
    </row>
    <row r="398" spans="3:16" x14ac:dyDescent="0.3">
      <c r="C398" s="2" t="s">
        <v>854</v>
      </c>
      <c r="D398" s="2">
        <v>2022</v>
      </c>
      <c r="E398" s="2" t="s">
        <v>441</v>
      </c>
      <c r="F398" s="2" t="s">
        <v>18</v>
      </c>
      <c r="G398" s="2" t="s">
        <v>19</v>
      </c>
      <c r="H398" s="9" t="s">
        <v>783</v>
      </c>
      <c r="I398" s="2" t="s">
        <v>39</v>
      </c>
      <c r="J398" s="2" t="s">
        <v>34</v>
      </c>
      <c r="K398" s="2" t="s">
        <v>33</v>
      </c>
      <c r="L398" s="2" t="s">
        <v>41</v>
      </c>
      <c r="M398" s="2" t="s">
        <v>194</v>
      </c>
      <c r="N398" s="2" t="s">
        <v>55</v>
      </c>
      <c r="O398" s="10">
        <v>169</v>
      </c>
      <c r="P398" t="s">
        <v>44</v>
      </c>
    </row>
    <row r="399" spans="3:16" x14ac:dyDescent="0.3">
      <c r="C399" s="2" t="s">
        <v>855</v>
      </c>
      <c r="D399" s="2">
        <v>2022</v>
      </c>
      <c r="E399" s="2" t="s">
        <v>441</v>
      </c>
      <c r="F399" s="2" t="s">
        <v>18</v>
      </c>
      <c r="G399" s="2" t="s">
        <v>19</v>
      </c>
      <c r="H399" s="9" t="s">
        <v>783</v>
      </c>
      <c r="I399" s="2" t="s">
        <v>39</v>
      </c>
      <c r="J399" s="2" t="s">
        <v>40</v>
      </c>
      <c r="K399" s="2" t="s">
        <v>33</v>
      </c>
      <c r="L399" s="2" t="s">
        <v>41</v>
      </c>
      <c r="M399" s="2" t="s">
        <v>194</v>
      </c>
      <c r="N399" s="2" t="s">
        <v>55</v>
      </c>
      <c r="O399" s="10">
        <v>169</v>
      </c>
      <c r="P399" t="s">
        <v>44</v>
      </c>
    </row>
    <row r="400" spans="3:16" x14ac:dyDescent="0.3">
      <c r="C400" s="2" t="s">
        <v>856</v>
      </c>
      <c r="D400" s="2">
        <v>2020</v>
      </c>
      <c r="E400" s="2" t="s">
        <v>17</v>
      </c>
      <c r="F400" s="2" t="s">
        <v>18</v>
      </c>
      <c r="G400" s="2" t="s">
        <v>19</v>
      </c>
      <c r="H400" s="9" t="s">
        <v>783</v>
      </c>
      <c r="I400" s="2" t="s">
        <v>805</v>
      </c>
      <c r="J400" s="2" t="s">
        <v>139</v>
      </c>
      <c r="K400" s="2" t="s">
        <v>23</v>
      </c>
      <c r="L400" s="2" t="s">
        <v>61</v>
      </c>
      <c r="M400" s="2" t="s">
        <v>74</v>
      </c>
      <c r="N400" s="2" t="s">
        <v>783</v>
      </c>
      <c r="O400">
        <v>127</v>
      </c>
      <c r="P400" t="s">
        <v>136</v>
      </c>
    </row>
    <row r="401" spans="3:16" x14ac:dyDescent="0.3">
      <c r="C401" s="2" t="s">
        <v>857</v>
      </c>
      <c r="D401" s="2">
        <v>2020</v>
      </c>
      <c r="E401" s="2" t="s">
        <v>17</v>
      </c>
      <c r="F401" s="2" t="s">
        <v>18</v>
      </c>
      <c r="G401" s="2" t="s">
        <v>19</v>
      </c>
      <c r="H401" s="9" t="s">
        <v>783</v>
      </c>
      <c r="I401" s="2" t="s">
        <v>243</v>
      </c>
      <c r="J401" s="2" t="s">
        <v>34</v>
      </c>
      <c r="K401" s="2" t="s">
        <v>51</v>
      </c>
      <c r="L401" s="2" t="s">
        <v>51</v>
      </c>
      <c r="M401" s="2" t="s">
        <v>443</v>
      </c>
      <c r="N401" s="2" t="s">
        <v>107</v>
      </c>
      <c r="O401">
        <v>127</v>
      </c>
      <c r="P401" t="s">
        <v>136</v>
      </c>
    </row>
    <row r="402" spans="3:16" x14ac:dyDescent="0.3">
      <c r="C402" s="2" t="s">
        <v>858</v>
      </c>
      <c r="D402" s="2">
        <v>2020</v>
      </c>
      <c r="E402" s="2" t="s">
        <v>17</v>
      </c>
      <c r="F402" s="2" t="s">
        <v>18</v>
      </c>
      <c r="G402" s="2" t="s">
        <v>19</v>
      </c>
      <c r="H402" s="9" t="s">
        <v>783</v>
      </c>
      <c r="I402" s="2" t="s">
        <v>39</v>
      </c>
      <c r="J402" s="2" t="s">
        <v>34</v>
      </c>
      <c r="K402" s="2" t="s">
        <v>33</v>
      </c>
      <c r="L402" s="2" t="s">
        <v>41</v>
      </c>
      <c r="M402" s="2" t="s">
        <v>194</v>
      </c>
      <c r="N402" s="2" t="s">
        <v>55</v>
      </c>
      <c r="O402" s="10">
        <v>169</v>
      </c>
      <c r="P402" t="s">
        <v>44</v>
      </c>
    </row>
    <row r="403" spans="3:16" x14ac:dyDescent="0.3">
      <c r="C403" s="2" t="s">
        <v>859</v>
      </c>
      <c r="D403" s="2">
        <v>2020</v>
      </c>
      <c r="E403" s="2" t="s">
        <v>17</v>
      </c>
      <c r="F403" s="2" t="s">
        <v>18</v>
      </c>
      <c r="G403" s="2" t="s">
        <v>19</v>
      </c>
      <c r="H403" s="9" t="s">
        <v>783</v>
      </c>
      <c r="I403" s="2" t="s">
        <v>39</v>
      </c>
      <c r="J403" s="2" t="s">
        <v>80</v>
      </c>
      <c r="K403" s="2" t="s">
        <v>33</v>
      </c>
      <c r="L403" s="2" t="s">
        <v>41</v>
      </c>
      <c r="M403" s="2" t="s">
        <v>194</v>
      </c>
      <c r="N403" s="2" t="s">
        <v>55</v>
      </c>
      <c r="O403" s="10">
        <v>169</v>
      </c>
      <c r="P403" t="s">
        <v>44</v>
      </c>
    </row>
    <row r="404" spans="3:16" x14ac:dyDescent="0.3">
      <c r="C404" s="2" t="s">
        <v>860</v>
      </c>
      <c r="D404" s="2">
        <v>2022</v>
      </c>
      <c r="E404" s="2" t="s">
        <v>307</v>
      </c>
      <c r="F404" s="2" t="s">
        <v>293</v>
      </c>
      <c r="G404" s="2" t="s">
        <v>19</v>
      </c>
      <c r="H404" s="9" t="s">
        <v>783</v>
      </c>
      <c r="I404" s="2" t="s">
        <v>39</v>
      </c>
      <c r="J404" s="2" t="s">
        <v>80</v>
      </c>
      <c r="K404" s="2" t="s">
        <v>23</v>
      </c>
      <c r="L404" s="2" t="s">
        <v>41</v>
      </c>
      <c r="M404" s="2" t="s">
        <v>194</v>
      </c>
      <c r="N404" s="2" t="s">
        <v>861</v>
      </c>
      <c r="O404" s="10">
        <v>169</v>
      </c>
      <c r="P404" t="s">
        <v>44</v>
      </c>
    </row>
    <row r="405" spans="3:16" x14ac:dyDescent="0.3">
      <c r="C405" s="2" t="s">
        <v>862</v>
      </c>
      <c r="D405" s="2">
        <v>2022</v>
      </c>
      <c r="E405" s="2" t="s">
        <v>441</v>
      </c>
      <c r="F405" s="2" t="s">
        <v>18</v>
      </c>
      <c r="G405" s="2" t="s">
        <v>19</v>
      </c>
      <c r="H405" s="9" t="s">
        <v>783</v>
      </c>
      <c r="I405" s="2" t="s">
        <v>863</v>
      </c>
      <c r="J405" s="2" t="s">
        <v>34</v>
      </c>
      <c r="K405" s="2" t="s">
        <v>23</v>
      </c>
      <c r="L405" s="2" t="s">
        <v>61</v>
      </c>
      <c r="M405" s="2" t="s">
        <v>74</v>
      </c>
      <c r="N405" s="2" t="s">
        <v>356</v>
      </c>
      <c r="O405">
        <v>127</v>
      </c>
      <c r="P405" t="s">
        <v>75</v>
      </c>
    </row>
    <row r="406" spans="3:16" x14ac:dyDescent="0.3">
      <c r="C406" s="2" t="s">
        <v>864</v>
      </c>
      <c r="D406" s="2">
        <v>2022</v>
      </c>
      <c r="E406" s="2" t="s">
        <v>441</v>
      </c>
      <c r="F406" s="2" t="s">
        <v>18</v>
      </c>
      <c r="G406" s="2" t="s">
        <v>19</v>
      </c>
      <c r="H406" s="9" t="s">
        <v>783</v>
      </c>
      <c r="I406" s="2" t="s">
        <v>865</v>
      </c>
      <c r="J406" s="2" t="s">
        <v>34</v>
      </c>
      <c r="K406" s="2" t="s">
        <v>23</v>
      </c>
      <c r="L406" s="2" t="s">
        <v>41</v>
      </c>
      <c r="M406" s="2" t="s">
        <v>194</v>
      </c>
      <c r="N406" s="2" t="s">
        <v>52</v>
      </c>
      <c r="O406" s="10">
        <v>169</v>
      </c>
      <c r="P406" t="s">
        <v>44</v>
      </c>
    </row>
    <row r="407" spans="3:16" x14ac:dyDescent="0.3">
      <c r="C407" s="2" t="s">
        <v>866</v>
      </c>
      <c r="D407" s="2">
        <v>2022</v>
      </c>
      <c r="E407" s="2" t="s">
        <v>441</v>
      </c>
      <c r="F407" s="2" t="s">
        <v>18</v>
      </c>
      <c r="G407" s="2" t="s">
        <v>19</v>
      </c>
      <c r="H407" s="9" t="s">
        <v>783</v>
      </c>
      <c r="I407" s="2" t="s">
        <v>867</v>
      </c>
      <c r="J407" s="2" t="s">
        <v>34</v>
      </c>
      <c r="K407" s="2" t="s">
        <v>23</v>
      </c>
      <c r="L407" s="2" t="s">
        <v>24</v>
      </c>
      <c r="M407" s="2" t="s">
        <v>31</v>
      </c>
      <c r="N407" s="2" t="s">
        <v>52</v>
      </c>
      <c r="O407">
        <v>127</v>
      </c>
      <c r="P407" t="s">
        <v>136</v>
      </c>
    </row>
    <row r="408" spans="3:16" x14ac:dyDescent="0.3">
      <c r="C408" s="2" t="s">
        <v>868</v>
      </c>
      <c r="D408" s="2">
        <v>2022</v>
      </c>
      <c r="E408" s="2" t="s">
        <v>441</v>
      </c>
      <c r="F408" s="2" t="s">
        <v>18</v>
      </c>
      <c r="G408" s="2" t="s">
        <v>19</v>
      </c>
      <c r="H408" s="9" t="s">
        <v>783</v>
      </c>
      <c r="I408" s="2" t="s">
        <v>39</v>
      </c>
      <c r="J408" s="2" t="s">
        <v>34</v>
      </c>
      <c r="K408" s="2" t="s">
        <v>23</v>
      </c>
      <c r="L408" s="2" t="s">
        <v>41</v>
      </c>
      <c r="M408" s="2" t="s">
        <v>194</v>
      </c>
      <c r="N408" s="2" t="s">
        <v>43</v>
      </c>
      <c r="O408" s="10">
        <v>169</v>
      </c>
      <c r="P408" t="s">
        <v>44</v>
      </c>
    </row>
    <row r="409" spans="3:16" x14ac:dyDescent="0.3">
      <c r="C409" s="2" t="s">
        <v>869</v>
      </c>
      <c r="D409" s="2">
        <v>2022</v>
      </c>
      <c r="E409" s="2" t="s">
        <v>441</v>
      </c>
      <c r="F409" s="2" t="s">
        <v>18</v>
      </c>
      <c r="G409" s="2" t="s">
        <v>19</v>
      </c>
      <c r="H409" s="9" t="s">
        <v>783</v>
      </c>
      <c r="I409" s="2" t="s">
        <v>30</v>
      </c>
      <c r="J409" s="2" t="s">
        <v>22</v>
      </c>
      <c r="K409" s="2" t="s">
        <v>23</v>
      </c>
      <c r="L409" s="2" t="s">
        <v>24</v>
      </c>
      <c r="M409" s="2" t="s">
        <v>31</v>
      </c>
      <c r="N409" s="2" t="s">
        <v>26</v>
      </c>
      <c r="O409">
        <v>127</v>
      </c>
      <c r="P409" t="s">
        <v>27</v>
      </c>
    </row>
    <row r="410" spans="3:16" x14ac:dyDescent="0.3">
      <c r="C410" s="2" t="s">
        <v>870</v>
      </c>
      <c r="D410" s="2">
        <v>2022</v>
      </c>
      <c r="E410" s="2" t="s">
        <v>164</v>
      </c>
      <c r="F410" s="2" t="s">
        <v>159</v>
      </c>
      <c r="G410" s="2" t="s">
        <v>214</v>
      </c>
      <c r="H410" s="9" t="s">
        <v>783</v>
      </c>
      <c r="I410" s="2" t="s">
        <v>30</v>
      </c>
      <c r="J410" s="2" t="s">
        <v>22</v>
      </c>
      <c r="K410" s="2" t="s">
        <v>23</v>
      </c>
      <c r="L410" s="2" t="s">
        <v>24</v>
      </c>
      <c r="M410" s="2" t="s">
        <v>31</v>
      </c>
      <c r="N410" s="2" t="s">
        <v>161</v>
      </c>
      <c r="O410">
        <v>127</v>
      </c>
      <c r="P410" t="s">
        <v>162</v>
      </c>
    </row>
    <row r="411" spans="3:16" x14ac:dyDescent="0.3">
      <c r="C411" s="2" t="s">
        <v>871</v>
      </c>
      <c r="D411" s="2">
        <v>2023</v>
      </c>
      <c r="E411" s="2" t="s">
        <v>164</v>
      </c>
      <c r="F411" s="2" t="s">
        <v>159</v>
      </c>
      <c r="G411" s="2" t="s">
        <v>214</v>
      </c>
      <c r="H411" s="9" t="s">
        <v>783</v>
      </c>
      <c r="I411" s="2" t="s">
        <v>30</v>
      </c>
      <c r="J411" s="2" t="s">
        <v>22</v>
      </c>
      <c r="K411" s="2" t="s">
        <v>23</v>
      </c>
      <c r="L411" s="2" t="s">
        <v>24</v>
      </c>
      <c r="M411" s="2" t="s">
        <v>31</v>
      </c>
      <c r="N411" s="2" t="s">
        <v>161</v>
      </c>
      <c r="O411">
        <v>127</v>
      </c>
      <c r="P411" t="s">
        <v>162</v>
      </c>
    </row>
    <row r="412" spans="3:16" x14ac:dyDescent="0.3">
      <c r="C412" s="2" t="s">
        <v>872</v>
      </c>
      <c r="D412" s="2">
        <v>2022</v>
      </c>
      <c r="E412" s="2" t="s">
        <v>164</v>
      </c>
      <c r="F412" s="2" t="s">
        <v>159</v>
      </c>
      <c r="G412" s="2" t="s">
        <v>214</v>
      </c>
      <c r="H412" s="9" t="s">
        <v>783</v>
      </c>
      <c r="I412" s="2" t="s">
        <v>21</v>
      </c>
      <c r="J412" s="2" t="s">
        <v>22</v>
      </c>
      <c r="K412" s="2" t="s">
        <v>33</v>
      </c>
      <c r="L412" s="2" t="s">
        <v>24</v>
      </c>
      <c r="M412" s="2" t="s">
        <v>31</v>
      </c>
      <c r="N412" s="2" t="s">
        <v>161</v>
      </c>
      <c r="O412">
        <v>127</v>
      </c>
      <c r="P412" t="s">
        <v>162</v>
      </c>
    </row>
    <row r="413" spans="3:16" x14ac:dyDescent="0.3">
      <c r="C413" s="2" t="s">
        <v>788</v>
      </c>
      <c r="D413" s="2">
        <v>2020</v>
      </c>
      <c r="E413" s="2" t="s">
        <v>789</v>
      </c>
      <c r="F413" s="2" t="s">
        <v>790</v>
      </c>
      <c r="G413" s="2" t="s">
        <v>19</v>
      </c>
      <c r="H413" s="9" t="s">
        <v>791</v>
      </c>
      <c r="I413" s="2" t="s">
        <v>25</v>
      </c>
      <c r="J413" s="2" t="s">
        <v>792</v>
      </c>
      <c r="K413" s="2" t="s">
        <v>25</v>
      </c>
      <c r="L413" s="2" t="s">
        <v>25</v>
      </c>
      <c r="M413" s="2" t="s">
        <v>793</v>
      </c>
      <c r="N413" s="2" t="s">
        <v>794</v>
      </c>
      <c r="O413" t="s">
        <v>873</v>
      </c>
    </row>
    <row r="414" spans="3:16" x14ac:dyDescent="0.3">
      <c r="C414" s="2" t="s">
        <v>874</v>
      </c>
      <c r="D414" s="2">
        <v>2022</v>
      </c>
      <c r="E414" s="2" t="s">
        <v>307</v>
      </c>
      <c r="F414" s="2" t="s">
        <v>293</v>
      </c>
      <c r="G414" s="2" t="s">
        <v>19</v>
      </c>
      <c r="H414" s="9" t="s">
        <v>783</v>
      </c>
      <c r="I414" s="2" t="s">
        <v>294</v>
      </c>
      <c r="J414" s="2" t="s">
        <v>34</v>
      </c>
      <c r="K414" s="2" t="s">
        <v>23</v>
      </c>
      <c r="L414" s="2" t="s">
        <v>41</v>
      </c>
      <c r="M414" s="2" t="s">
        <v>42</v>
      </c>
      <c r="N414" s="2" t="s">
        <v>298</v>
      </c>
      <c r="O414">
        <v>169</v>
      </c>
      <c r="P414" t="s">
        <v>44</v>
      </c>
    </row>
    <row r="415" spans="3:16" x14ac:dyDescent="0.3">
      <c r="C415" s="2" t="s">
        <v>875</v>
      </c>
      <c r="D415" s="2">
        <v>2024</v>
      </c>
      <c r="E415" s="2" t="s">
        <v>133</v>
      </c>
      <c r="F415" s="2" t="s">
        <v>72</v>
      </c>
      <c r="G415" s="2" t="s">
        <v>19</v>
      </c>
      <c r="H415" s="9" t="s">
        <v>783</v>
      </c>
      <c r="I415" s="2"/>
      <c r="J415" s="2" t="s">
        <v>34</v>
      </c>
      <c r="K415" s="2"/>
      <c r="L415" s="2" t="s">
        <v>41</v>
      </c>
      <c r="M415" s="2"/>
      <c r="N415" s="2"/>
      <c r="O415">
        <v>169</v>
      </c>
      <c r="P415" t="s">
        <v>44</v>
      </c>
    </row>
    <row r="416" spans="3:16" x14ac:dyDescent="0.3">
      <c r="C416" s="2" t="s">
        <v>876</v>
      </c>
      <c r="D416" s="2">
        <v>2022</v>
      </c>
      <c r="E416" s="2" t="s">
        <v>877</v>
      </c>
      <c r="F416" s="2" t="s">
        <v>877</v>
      </c>
      <c r="G416" s="2"/>
      <c r="H416" s="9"/>
      <c r="I416" s="2"/>
      <c r="J416" s="2"/>
      <c r="K416" s="2"/>
      <c r="L416" s="2"/>
      <c r="M416" s="2"/>
      <c r="N416" s="2"/>
    </row>
  </sheetData>
  <autoFilter ref="B2:Q416" xr:uid="{0B83249C-B196-4714-B4AD-AF94081A033B}"/>
  <conditionalFormatting sqref="C1">
    <cfRule type="duplicateValues" dxfId="69" priority="47"/>
    <cfRule type="duplicateValues" dxfId="70" priority="48"/>
  </conditionalFormatting>
  <conditionalFormatting sqref="C1:C342 C349 C417:C1048576">
    <cfRule type="duplicateValues" dxfId="68" priority="42"/>
  </conditionalFormatting>
  <conditionalFormatting sqref="C42">
    <cfRule type="duplicateValues" dxfId="67" priority="52"/>
    <cfRule type="duplicateValues" dxfId="66" priority="53"/>
  </conditionalFormatting>
  <conditionalFormatting sqref="C52">
    <cfRule type="duplicateValues" dxfId="65" priority="50"/>
  </conditionalFormatting>
  <conditionalFormatting sqref="C147">
    <cfRule type="duplicateValues" dxfId="64" priority="59"/>
  </conditionalFormatting>
  <conditionalFormatting sqref="C163">
    <cfRule type="duplicateValues" dxfId="63" priority="45"/>
    <cfRule type="duplicateValues" dxfId="62" priority="46"/>
  </conditionalFormatting>
  <conditionalFormatting sqref="C164:C200 C2:C162 C202:C342">
    <cfRule type="duplicateValues" dxfId="61" priority="68"/>
  </conditionalFormatting>
  <conditionalFormatting sqref="C164:C200 C3:C162 C202:C342">
    <cfRule type="duplicateValues" dxfId="60" priority="69"/>
  </conditionalFormatting>
  <conditionalFormatting sqref="C182">
    <cfRule type="duplicateValues" dxfId="59" priority="58"/>
  </conditionalFormatting>
  <conditionalFormatting sqref="C201">
    <cfRule type="duplicateValues" dxfId="58" priority="43"/>
    <cfRule type="duplicateValues" dxfId="57" priority="44"/>
  </conditionalFormatting>
  <conditionalFormatting sqref="C214">
    <cfRule type="duplicateValues" dxfId="56" priority="49"/>
  </conditionalFormatting>
  <conditionalFormatting sqref="C217:C221">
    <cfRule type="duplicateValues" dxfId="55" priority="67"/>
  </conditionalFormatting>
  <conditionalFormatting sqref="C222:C224">
    <cfRule type="duplicateValues" dxfId="54" priority="66"/>
  </conditionalFormatting>
  <conditionalFormatting sqref="C225:C244">
    <cfRule type="duplicateValues" dxfId="53" priority="61"/>
  </conditionalFormatting>
  <conditionalFormatting sqref="C231">
    <cfRule type="duplicateValues" dxfId="52" priority="57"/>
  </conditionalFormatting>
  <conditionalFormatting sqref="C232:C243">
    <cfRule type="duplicateValues" dxfId="51" priority="56"/>
  </conditionalFormatting>
  <conditionalFormatting sqref="C233">
    <cfRule type="duplicateValues" dxfId="50" priority="55"/>
  </conditionalFormatting>
  <conditionalFormatting sqref="C245:C246">
    <cfRule type="duplicateValues" dxfId="49" priority="60"/>
  </conditionalFormatting>
  <conditionalFormatting sqref="C247">
    <cfRule type="duplicateValues" dxfId="48" priority="54"/>
  </conditionalFormatting>
  <conditionalFormatting sqref="C248">
    <cfRule type="duplicateValues" dxfId="47" priority="51"/>
  </conditionalFormatting>
  <conditionalFormatting sqref="C249:C317">
    <cfRule type="duplicateValues" dxfId="45" priority="62"/>
    <cfRule type="duplicateValues" dxfId="46" priority="63"/>
  </conditionalFormatting>
  <conditionalFormatting sqref="C318:C330">
    <cfRule type="duplicateValues" dxfId="44" priority="64"/>
    <cfRule type="duplicateValues" dxfId="43" priority="65"/>
  </conditionalFormatting>
  <conditionalFormatting sqref="C343:C346">
    <cfRule type="duplicateValues" dxfId="40" priority="39"/>
    <cfRule type="duplicateValues" dxfId="41" priority="40"/>
    <cfRule type="duplicateValues" dxfId="42" priority="41"/>
  </conditionalFormatting>
  <conditionalFormatting sqref="C345">
    <cfRule type="duplicateValues" dxfId="39" priority="38"/>
  </conditionalFormatting>
  <conditionalFormatting sqref="C346">
    <cfRule type="duplicateValues" dxfId="38" priority="37"/>
  </conditionalFormatting>
  <conditionalFormatting sqref="C347">
    <cfRule type="duplicateValues" dxfId="33" priority="30"/>
    <cfRule type="duplicateValues" dxfId="37" priority="31"/>
    <cfRule type="duplicateValues" dxfId="36" priority="32"/>
    <cfRule type="duplicateValues" dxfId="34" priority="33"/>
    <cfRule type="duplicateValues" dxfId="35" priority="34"/>
  </conditionalFormatting>
  <conditionalFormatting sqref="C348">
    <cfRule type="duplicateValues" dxfId="28" priority="23"/>
    <cfRule type="duplicateValues" dxfId="29" priority="24"/>
    <cfRule type="duplicateValues" dxfId="30" priority="25"/>
    <cfRule type="duplicateValues" dxfId="32" priority="26"/>
    <cfRule type="duplicateValues" dxfId="31" priority="27"/>
  </conditionalFormatting>
  <conditionalFormatting sqref="C350">
    <cfRule type="duplicateValues" dxfId="26" priority="14"/>
    <cfRule type="duplicateValues" dxfId="27" priority="15"/>
  </conditionalFormatting>
  <conditionalFormatting sqref="C350:C416">
    <cfRule type="duplicateValues" dxfId="23" priority="16"/>
    <cfRule type="duplicateValues" dxfId="25" priority="17"/>
    <cfRule type="duplicateValues" dxfId="24" priority="18"/>
  </conditionalFormatting>
  <conditionalFormatting sqref="C351">
    <cfRule type="duplicateValues" dxfId="21" priority="12"/>
    <cfRule type="duplicateValues" dxfId="22" priority="13"/>
  </conditionalFormatting>
  <conditionalFormatting sqref="C352">
    <cfRule type="duplicateValues" dxfId="19" priority="10"/>
    <cfRule type="duplicateValues" dxfId="20" priority="11"/>
  </conditionalFormatting>
  <conditionalFormatting sqref="C353">
    <cfRule type="duplicateValues" dxfId="18" priority="8"/>
    <cfRule type="duplicateValues" dxfId="17" priority="9"/>
  </conditionalFormatting>
  <conditionalFormatting sqref="C354">
    <cfRule type="duplicateValues" dxfId="15" priority="6"/>
    <cfRule type="duplicateValues" dxfId="16" priority="7"/>
  </conditionalFormatting>
  <conditionalFormatting sqref="C355">
    <cfRule type="duplicateValues" dxfId="13" priority="4"/>
    <cfRule type="duplicateValues" dxfId="14" priority="5"/>
  </conditionalFormatting>
  <conditionalFormatting sqref="C356:C414">
    <cfRule type="duplicateValues" dxfId="11" priority="19"/>
    <cfRule type="duplicateValues" dxfId="12" priority="20"/>
  </conditionalFormatting>
  <conditionalFormatting sqref="C415">
    <cfRule type="duplicateValues" dxfId="10" priority="1"/>
    <cfRule type="duplicateValues" dxfId="8" priority="2"/>
    <cfRule type="duplicateValues" dxfId="9" priority="3"/>
  </conditionalFormatting>
  <conditionalFormatting sqref="H1 H318 H325:H327 H320:H322 H331:H342 H349 H417:H1048576">
    <cfRule type="duplicateValues" dxfId="7" priority="70"/>
    <cfRule type="duplicateValues" dxfId="6" priority="71"/>
  </conditionalFormatting>
  <conditionalFormatting sqref="H347">
    <cfRule type="duplicateValues" dxfId="4" priority="35"/>
    <cfRule type="duplicateValues" dxfId="5" priority="36"/>
  </conditionalFormatting>
  <conditionalFormatting sqref="H348">
    <cfRule type="duplicateValues" dxfId="3" priority="28"/>
    <cfRule type="duplicateValues" dxfId="2" priority="29"/>
  </conditionalFormatting>
  <conditionalFormatting sqref="H350:H414">
    <cfRule type="duplicateValues" dxfId="0" priority="21"/>
    <cfRule type="duplicateValues" dxfId="1" priority="22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ESTRUTURA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Fontes</dc:creator>
  <cp:lastModifiedBy>Italo Fontes</cp:lastModifiedBy>
  <dcterms:created xsi:type="dcterms:W3CDTF">2026-05-12T20:27:46Z</dcterms:created>
  <dcterms:modified xsi:type="dcterms:W3CDTF">2026-05-12T20:28:37Z</dcterms:modified>
</cp:coreProperties>
</file>